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519dd319a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_Tower" sheetId="1" r:id="R6ef24f6383b2423b"/>
    <x:sheet xmlns:r="http://schemas.openxmlformats.org/officeDocument/2006/relationships" name="01_Capability_Register" sheetId="2" r:id="R2e9f7582cfce4a4a"/>
    <x:sheet xmlns:r="http://schemas.openxmlformats.org/officeDocument/2006/relationships" name="02_Delivery_Plan" sheetId="3" r:id="Rf76e4c530d2e4479"/>
    <x:sheet xmlns:r="http://schemas.openxmlformats.org/officeDocument/2006/relationships" name="03_Roadmap" sheetId="4" r:id="R144e320ee07b441f"/>
    <x:sheet xmlns:r="http://schemas.openxmlformats.org/officeDocument/2006/relationships" name="04_Product_Map" sheetId="5" r:id="R063df36fc6cd443f"/>
    <x:sheet xmlns:r="http://schemas.openxmlformats.org/officeDocument/2006/relationships" name="05_Technical_Architecture" sheetId="6" r:id="R36e51ee0d6a44295"/>
    <x:sheet xmlns:r="http://schemas.openxmlformats.org/officeDocument/2006/relationships" name="06_Business_Route" sheetId="7" r:id="Rab210d188c1a4c73"/>
    <x:sheet xmlns:r="http://schemas.openxmlformats.org/officeDocument/2006/relationships" name="07_RAID_Decisions" sheetId="8" r:id="R4d0dba93b01b41bb"/>
    <x:sheet xmlns:r="http://schemas.openxmlformats.org/officeDocument/2006/relationships" name="08_Evidence_Register" sheetId="9" r:id="R8996bc66f1024bfd"/>
    <x:sheet xmlns:r="http://schemas.openxmlformats.org/officeDocument/2006/relationships" name="09_Gantt" sheetId="10" r:id="Rd196c64fb817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d mmm"/>
  </x:numFmts>
  <x:fonts count="3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E6B75"/>
      <x:name val="Carlito"/>
    </x:font>
    <x:font>
      <x:b/>
      <x:sz val="9"/>
      <x:color rgb="FFFFFFFF"/>
      <x:name val="Carlito"/>
    </x:font>
    <x:font>
      <x:b/>
      <x:sz val="22"/>
      <x:color rgb="FF102A43"/>
      <x:name val="Carlito"/>
    </x:font>
    <x:font>
      <x:b/>
      <x:sz val="11"/>
      <x:color rgb="FF7A4D00"/>
      <x:name val="Carlito"/>
    </x:font>
    <x:font>
      <x:b/>
      <x:sz val="11"/>
      <x:color rgb="FFFFFFFF"/>
      <x:name val="Carlito"/>
    </x:font>
    <x:font>
      <x:b/>
      <x:sz val="12"/>
      <x:color rgb="FF17212B"/>
      <x:name val="Carlito"/>
    </x:font>
    <x:font>
      <x:sz val="10"/>
      <x:color rgb="FF17212B"/>
      <x:name val="Carlito"/>
    </x:font>
    <x:font>
      <x:b/>
      <x:sz val="12"/>
      <x:color rgb="FF0B7A75"/>
      <x:name val="Carlito"/>
    </x:font>
    <x:font>
      <x:b/>
      <x:sz val="10"/>
      <x:color rgb="FF102A43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20"/>
      <x:color rgb="FFFFFFFF"/>
      <x:name val="Arial"/>
    </x:font>
    <x:font>
      <x:i/>
      <x:sz val="10"/>
      <x:color rgb="FF5E6B75"/>
      <x:name val="Arial"/>
    </x:font>
    <x:font>
      <x:sz val="11"/>
      <x:name val="Arial"/>
    </x:font>
    <x:font>
      <x:b/>
      <x:sz val="9"/>
      <x:color rgb="FFFFFFFF"/>
      <x:name val="Arial"/>
    </x:font>
    <x:font>
      <x:b/>
      <x:sz val="22"/>
      <x:color rgb="FF102A43"/>
      <x:name val="Arial"/>
    </x:font>
    <x:font>
      <x:b/>
      <x:sz val="11"/>
      <x:color rgb="FF7A4D00"/>
      <x:name val="Arial"/>
    </x:font>
    <x:font>
      <x:b/>
      <x:sz val="11"/>
      <x:color rgb="FFFFFFFF"/>
      <x:name val="Arial"/>
    </x:font>
    <x:font>
      <x:b/>
      <x:sz val="12"/>
      <x:color rgb="FF17212B"/>
      <x:name val="Arial"/>
    </x:font>
    <x:font>
      <x:b/>
      <x:sz val="12"/>
      <x:color rgb="FF0B7A75"/>
      <x:name val="Arial"/>
    </x:font>
    <x:font>
      <x:b/>
      <x:sz val="10"/>
      <x:color rgb="FF102A43"/>
      <x:name val="Arial"/>
    </x:font>
    <x:font>
      <x:sz val="10"/>
      <x:color rgb="FF17212B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16"/>
      <x:color rgb="FF0B7A75"/>
      <x:name val="Carlito"/>
    </x:font>
    <x:font>
      <x:b/>
      <x:sz val="14"/>
      <x:color rgb="FF0B7A75"/>
      <x:name val="Carlito"/>
    </x:font>
    <x:font>
      <x:b/>
      <x:sz val="11"/>
      <x:color rgb="FF102A43"/>
      <x:name val="Carlito"/>
    </x:font>
    <x:font>
      <x:b/>
      <x:sz val="16"/>
      <x:color rgb="FF0B7A75"/>
      <x:name val="Arial"/>
    </x:font>
    <x:font>
      <x:b/>
      <x:sz val="14"/>
      <x:color rgb="FF0B7A75"/>
      <x:name val="Arial"/>
    </x:font>
    <x:font>
      <x:b/>
      <x:sz val="11"/>
      <x:color rgb="FF102A43"/>
      <x:name val="Arial"/>
    </x:font>
    <x:font>
      <x:b/>
      <x:sz val="9"/>
      <x:color rgb="FF0B7A75"/>
      <x:name val="Carlito"/>
    </x:font>
    <x:font>
      <x:b/>
      <x:sz val="18"/>
      <x:color rgb="FF2E8B57"/>
      <x:name val="Carlito"/>
    </x:font>
    <x:font>
      <x:b/>
      <x:sz val="18"/>
      <x:color rgb="FFE59D2A"/>
      <x:name val="Carlito"/>
    </x:font>
    <x:font>
      <x:b/>
      <x:sz val="18"/>
      <x:color rgb="FF246B8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1F7"/>
      </x:patternFill>
    </x:fill>
    <x:fill>
      <x:patternFill patternType="solid">
        <x:fgColor rgb="FF246B8E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  <x:fill>
      <x:patternFill patternType="solid">
        <x:fgColor rgb="FF0B7A75"/>
      </x:patternFill>
    </x:fill>
    <x:fill>
      <x:patternFill patternType="solid">
        <x:fgColor rgb="FFE3F4F1"/>
      </x:patternFill>
    </x:fill>
    <x:fill>
      <x:patternFill patternType="solid">
        <x:fgColor rgb="FFF4F7F9"/>
      </x:patternFill>
    </x:fill>
  </x:fills>
  <x:borders count="11">
    <x:border/>
    <x:border>
      <x:left style="thin">
        <x:color rgb="FFD6DEE5"/>
      </x:left>
      <x:top style="thin">
        <x:color rgb="FFD6DEE5"/>
      </x:top>
    </x:border>
    <x:border>
      <x:top style="thin">
        <x:color rgb="FFD6DEE5"/>
      </x:top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</x:border>
    <x:border>
      <x:right style="thin">
        <x:color rgb="FFD6DEE5"/>
      </x:right>
    </x:border>
    <x:border>
      <x:left style="thin">
        <x:color rgb="FFD6DEE5"/>
      </x:left>
      <x:bottom style="thin">
        <x:color rgb="FFD6DEE5"/>
      </x:bottom>
    </x:border>
    <x:border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2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8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left" wrapText="1"/>
    </x:xf>
    <x:xf numFmtId="0" fontId="5" fillId="6" borderId="3" xfId="0" applyNumberFormat="1" applyFont="1" applyFill="1" applyBorder="1" applyAlignment="1">
      <x:alignment horizontal="left" wrapText="1"/>
    </x:xf>
    <x:xf numFmtId="0" fontId="5" fillId="6" borderId="4" xfId="0" applyNumberFormat="1" applyFont="1" applyFill="1" applyBorder="1" applyAlignment="1">
      <x:alignment horizontal="left" wrapText="1"/>
    </x:xf>
    <x:xf numFmtId="0" fontId="5" fillId="6" borderId="5" xfId="0" applyNumberFormat="1" applyFont="1" applyFill="1" applyBorder="1" applyAlignment="1">
      <x:alignment horizontal="left" wrapText="1"/>
    </x:xf>
    <x:xf numFmtId="0" fontId="5" fillId="6" borderId="6" xfId="0" applyNumberFormat="1" applyFont="1" applyFill="1" applyBorder="1" applyAlignment="1">
      <x:alignment horizontal="left" wrapText="1"/>
    </x:xf>
    <x:xf numFmtId="0" fontId="5" fillId="6" borderId="8" xfId="0" applyNumberFormat="1" applyFont="1" applyFill="1" applyBorder="1" applyAlignment="1">
      <x:alignment horizontal="left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5" fillId="6" borderId="3" xfId="0" applyNumberFormat="1" applyFont="1" applyFill="1" applyBorder="1" applyAlignment="1">
      <x:alignment horizontal="left" vertical="center" wrapText="1"/>
    </x:xf>
    <x:xf numFmtId="0" fontId="5" fillId="6" borderId="4" xfId="0" applyNumberFormat="1" applyFont="1" applyFill="1" applyBorder="1" applyAlignment="1">
      <x:alignment horizontal="left" vertical="center" wrapText="1"/>
    </x:xf>
    <x:xf numFmtId="0" fontId="5" fillId="6" borderId="5" xfId="0" applyNumberFormat="1" applyFont="1" applyFill="1" applyBorder="1" applyAlignment="1">
      <x:alignment horizontal="left" vertical="center" wrapText="1"/>
    </x:xf>
    <x:xf numFmtId="0" fontId="5" fillId="6" borderId="6" xfId="0" applyNumberFormat="1" applyFont="1" applyFill="1" applyBorder="1" applyAlignment="1">
      <x:alignment horizontal="left" vertical="center" wrapText="1"/>
    </x:xf>
    <x:xf numFmtId="0" fontId="5" fillId="6" borderId="8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9" xfId="0" applyNumberFormat="1" applyFont="1" applyFill="1" applyBorder="1"/>
    <x:xf numFmtId="0" fontId="8" fillId="5" borderId="9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9" fillId="8" borderId="9" xfId="0" applyNumberFormat="1" applyFont="1" applyFill="1" applyBorder="1" applyAlignment="1">
      <x:alignment vertical="center" wrapText="1"/>
    </x:xf>
    <x:xf numFmtId="0" fontId="9" fillId="8" borderId="9" xfId="0" applyNumberFormat="1" applyFont="1" applyFill="1" applyBorder="1" applyAlignment="1">
      <x:alignment horizontal="center"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/>
    <x:xf numFmtId="0" fontId="11" fillId="4" borderId="9" xfId="0" applyNumberFormat="1" applyFont="1" applyFill="1" applyBorder="1"/>
    <x:xf numFmtId="0" fontId="11" fillId="4" borderId="9" xfId="0" applyNumberFormat="1" applyFont="1" applyFill="1" applyBorder="1" applyAlignment="1">
      <x:alignment wrapText="1"/>
    </x:xf>
    <x:xf numFmtId="0" fontId="11" fillId="4" borderId="9" xfId="0" applyNumberFormat="1" applyFont="1" applyFill="1" applyBorder="1" applyAlignment="1">
      <x:alignment horizontal="center" wrapText="1"/>
    </x:xf>
    <x:xf numFmtId="0" fontId="11" fillId="4" borderId="9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7" xfId="0" applyNumberFormat="1" applyFont="1" applyFill="1" applyBorder="1"/>
    <x:xf numFmtId="0" fontId="12" fillId="0" borderId="10" xfId="0" applyNumberFormat="1" applyFont="1" applyFill="1" applyBorder="1"/>
    <x:xf numFmtId="0" fontId="12" fillId="0" borderId="7" xfId="0" applyNumberFormat="1" applyFont="1" applyFill="1" applyBorder="1" applyAlignment="1">
      <x:alignment wrapText="1"/>
    </x:xf>
    <x:xf numFmtId="0" fontId="12" fillId="0" borderId="10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vertical="top" wrapText="1"/>
    </x:xf>
    <x:xf numFmtId="0" fontId="12" fillId="0" borderId="10" xfId="0" applyNumberFormat="1" applyFont="1" applyFill="1" applyBorder="1" applyAlignment="1">
      <x:alignment vertical="top" wrapText="1"/>
    </x:xf>
    <x:xf numFmtId="200" fontId="12" fillId="0" borderId="7" xfId="0" applyNumberFormat="1" applyFont="1" applyFill="1" applyBorder="1" applyAlignment="1">
      <x:alignment vertical="top" wrapText="1"/>
    </x:xf>
    <x:xf numFmtId="200" fontId="12" fillId="0" borderId="10" xfId="0" applyNumberFormat="1" applyFont="1" applyFill="1" applyBorder="1" applyAlignment="1">
      <x:alignment vertical="top" wrapText="1"/>
    </x:xf>
    <x:xf numFmtId="201" fontId="12" fillId="0" borderId="7" xfId="0" applyNumberFormat="1" applyFont="1" applyFill="1" applyBorder="1" applyAlignment="1">
      <x:alignment vertical="top" wrapText="1"/>
    </x:xf>
    <x:xf numFmtId="201" fontId="12" fillId="0" borderId="1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left" vertical="center"/>
    </x:xf>
    <x:xf numFmtId="0" fontId="14" fillId="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6" fillId="4" borderId="0" xfId="0" applyNumberFormat="1" applyFont="1" applyFill="1" applyBorder="1" applyAlignment="1">
      <x:alignment horizontal="center" vertical="center"/>
    </x:xf>
    <x:xf numFmtId="0" fontId="17" fillId="5" borderId="1" xfId="0" applyNumberFormat="1" applyFont="1" applyFill="1" applyBorder="1" applyAlignment="1">
      <x:alignment horizontal="center" vertical="center"/>
    </x:xf>
    <x:xf numFmtId="0" fontId="17" fillId="5" borderId="2" xfId="0" applyNumberFormat="1" applyFont="1" applyFill="1" applyBorder="1" applyAlignment="1">
      <x:alignment horizontal="center" vertical="center"/>
    </x:xf>
    <x:xf numFmtId="0" fontId="17" fillId="5" borderId="3" xfId="0" applyNumberFormat="1" applyFont="1" applyFill="1" applyBorder="1" applyAlignment="1">
      <x:alignment horizontal="center" vertical="center"/>
    </x:xf>
    <x:xf numFmtId="0" fontId="18" fillId="6" borderId="1" xfId="0" applyNumberFormat="1" applyFont="1" applyFill="1" applyBorder="1" applyAlignment="1">
      <x:alignment horizontal="left" vertical="center" wrapText="1"/>
    </x:xf>
    <x:xf numFmtId="0" fontId="18" fillId="6" borderId="3" xfId="0" applyNumberFormat="1" applyFont="1" applyFill="1" applyBorder="1" applyAlignment="1">
      <x:alignment horizontal="left" vertical="center" wrapText="1"/>
    </x:xf>
    <x:xf numFmtId="0" fontId="17" fillId="5" borderId="4" xfId="0" applyNumberFormat="1" applyFont="1" applyFill="1" applyBorder="1" applyAlignment="1">
      <x:alignment horizontal="center" vertical="center"/>
    </x:xf>
    <x:xf numFmtId="0" fontId="17" fillId="5" borderId="0" xfId="0" applyNumberFormat="1" applyFont="1" applyFill="1" applyBorder="1" applyAlignment="1">
      <x:alignment horizontal="center" vertical="center"/>
    </x:xf>
    <x:xf numFmtId="0" fontId="17" fillId="5" borderId="5" xfId="0" applyNumberFormat="1" applyFont="1" applyFill="1" applyBorder="1" applyAlignment="1">
      <x:alignment horizontal="center" vertical="center"/>
    </x:xf>
    <x:xf numFmtId="0" fontId="18" fillId="6" borderId="4" xfId="0" applyNumberFormat="1" applyFont="1" applyFill="1" applyBorder="1" applyAlignment="1">
      <x:alignment horizontal="left" vertical="center" wrapText="1"/>
    </x:xf>
    <x:xf numFmtId="0" fontId="18" fillId="6" borderId="5" xfId="0" applyNumberFormat="1" applyFont="1" applyFill="1" applyBorder="1" applyAlignment="1">
      <x:alignment horizontal="left" vertical="center" wrapText="1"/>
    </x:xf>
    <x:xf numFmtId="0" fontId="17" fillId="5" borderId="6" xfId="0" applyNumberFormat="1" applyFont="1" applyFill="1" applyBorder="1" applyAlignment="1">
      <x:alignment horizontal="center" vertical="center"/>
    </x:xf>
    <x:xf numFmtId="0" fontId="17" fillId="5" borderId="7" xfId="0" applyNumberFormat="1" applyFont="1" applyFill="1" applyBorder="1" applyAlignment="1">
      <x:alignment horizontal="center" vertical="center"/>
    </x:xf>
    <x:xf numFmtId="0" fontId="17" fillId="5" borderId="8" xfId="0" applyNumberFormat="1" applyFont="1" applyFill="1" applyBorder="1" applyAlignment="1">
      <x:alignment horizontal="center" vertical="center"/>
    </x:xf>
    <x:xf numFmtId="0" fontId="18" fillId="6" borderId="6" xfId="0" applyNumberFormat="1" applyFont="1" applyFill="1" applyBorder="1" applyAlignment="1">
      <x:alignment horizontal="left" vertical="center" wrapText="1"/>
    </x:xf>
    <x:xf numFmtId="0" fontId="18" fillId="6" borderId="8" xfId="0" applyNumberFormat="1" applyFont="1" applyFill="1" applyBorder="1" applyAlignment="1">
      <x:alignment horizontal="left" vertical="center" wrapText="1"/>
    </x:xf>
    <x:xf numFmtId="0" fontId="19" fillId="2" borderId="0" xfId="0" applyNumberFormat="1" applyFont="1" applyFill="1" applyBorder="1" applyAlignment="1">
      <x:alignment vertical="center"/>
    </x:xf>
    <x:xf numFmtId="0" fontId="19" fillId="7" borderId="0" xfId="0" applyNumberFormat="1" applyFont="1" applyFill="1" applyBorder="1" applyAlignment="1">
      <x:alignment vertical="center"/>
    </x:xf>
    <x:xf numFmtId="0" fontId="20" fillId="3" borderId="1" xfId="0" applyNumberFormat="1" applyFont="1" applyFill="1" applyBorder="1" applyAlignment="1">
      <x:alignment vertical="center" wrapText="1"/>
    </x:xf>
    <x:xf numFmtId="0" fontId="20" fillId="3" borderId="2" xfId="0" applyNumberFormat="1" applyFont="1" applyFill="1" applyBorder="1" applyAlignment="1">
      <x:alignment vertical="center" wrapText="1"/>
    </x:xf>
    <x:xf numFmtId="0" fontId="20" fillId="3" borderId="3" xfId="0" applyNumberFormat="1" applyFont="1" applyFill="1" applyBorder="1" applyAlignment="1">
      <x:alignment vertical="center" wrapText="1"/>
    </x:xf>
    <x:xf numFmtId="0" fontId="21" fillId="8" borderId="9" xfId="0" applyNumberFormat="1" applyFont="1" applyFill="1" applyBorder="1" applyAlignment="1">
      <x:alignment horizontal="center" vertical="center" wrapText="1"/>
    </x:xf>
    <x:xf numFmtId="0" fontId="22" fillId="5" borderId="9" xfId="0" applyNumberFormat="1" applyFont="1" applyFill="1" applyBorder="1" applyAlignment="1">
      <x:alignment vertical="center" wrapText="1"/>
    </x:xf>
    <x:xf numFmtId="0" fontId="23" fillId="5" borderId="9" xfId="0" applyNumberFormat="1" applyFont="1" applyFill="1" applyBorder="1" applyAlignment="1">
      <x:alignment vertical="center" wrapText="1"/>
    </x:xf>
    <x:xf numFmtId="0" fontId="20" fillId="3" borderId="4" xfId="0" applyNumberFormat="1" applyFont="1" applyFill="1" applyBorder="1" applyAlignment="1">
      <x:alignment vertical="center" wrapText="1"/>
    </x:xf>
    <x:xf numFmtId="0" fontId="20" fillId="3" borderId="0" xfId="0" applyNumberFormat="1" applyFont="1" applyFill="1" applyBorder="1" applyAlignment="1">
      <x:alignment vertical="center" wrapText="1"/>
    </x:xf>
    <x:xf numFmtId="0" fontId="20" fillId="3" borderId="5" xfId="0" applyNumberFormat="1" applyFont="1" applyFill="1" applyBorder="1" applyAlignment="1">
      <x:alignment vertical="center" wrapText="1"/>
    </x:xf>
    <x:xf numFmtId="0" fontId="20" fillId="3" borderId="6" xfId="0" applyNumberFormat="1" applyFont="1" applyFill="1" applyBorder="1" applyAlignment="1">
      <x:alignment vertical="center" wrapText="1"/>
    </x:xf>
    <x:xf numFmtId="0" fontId="20" fillId="3" borderId="7" xfId="0" applyNumberFormat="1" applyFont="1" applyFill="1" applyBorder="1" applyAlignment="1">
      <x:alignment vertical="center" wrapText="1"/>
    </x:xf>
    <x:xf numFmtId="0" fontId="20" fillId="3" borderId="8" xfId="0" applyNumberFormat="1" applyFont="1" applyFill="1" applyBorder="1" applyAlignment="1">
      <x:alignment vertical="center" wrapText="1"/>
    </x:xf>
    <x:xf numFmtId="0" fontId="19" fillId="2" borderId="0" xfId="0" applyNumberFormat="1" applyFont="1" applyFill="1" applyBorder="1"/>
    <x:xf numFmtId="0" fontId="24" fillId="4" borderId="9" xfId="0" applyNumberFormat="1" applyFont="1" applyFill="1" applyBorder="1" applyAlignment="1">
      <x:alignment horizontal="center" vertical="center" wrapText="1"/>
    </x:xf>
    <x:xf numFmtId="0" fontId="25" fillId="0" borderId="7" xfId="0" applyNumberFormat="1" applyFont="1" applyFill="1" applyBorder="1" applyAlignment="1">
      <x:alignment vertical="top" wrapText="1"/>
    </x:xf>
    <x:xf numFmtId="200" fontId="25" fillId="0" borderId="7" xfId="0" applyNumberFormat="1" applyFont="1" applyFill="1" applyBorder="1" applyAlignment="1">
      <x:alignment vertical="top" wrapText="1"/>
    </x:xf>
    <x:xf numFmtId="201" fontId="25" fillId="0" borderId="7" xfId="0" applyNumberFormat="1" applyFont="1" applyFill="1" applyBorder="1" applyAlignment="1">
      <x:alignment vertical="top" wrapText="1"/>
    </x:xf>
    <x:xf numFmtId="0" fontId="25" fillId="0" borderId="10" xfId="0" applyNumberFormat="1" applyFont="1" applyFill="1" applyBorder="1" applyAlignment="1">
      <x:alignment vertical="top" wrapText="1"/>
    </x:xf>
    <x:xf numFmtId="200" fontId="25" fillId="0" borderId="10" xfId="0" applyNumberFormat="1" applyFont="1" applyFill="1" applyBorder="1" applyAlignment="1">
      <x:alignment vertical="top" wrapText="1"/>
    </x:xf>
    <x:xf numFmtId="201" fontId="25" fillId="0" borderId="10" xfId="0" applyNumberFormat="1" applyFont="1" applyFill="1" applyBorder="1" applyAlignment="1">
      <x:alignment vertical="top" wrapText="1"/>
    </x:xf>
    <x:xf numFmtId="0" fontId="26" fillId="0" borderId="7" xfId="0" applyNumberFormat="1" applyFont="1" applyFill="1" applyBorder="1" applyAlignment="1">
      <x:alignment vertical="top" wrapText="1"/>
    </x:xf>
    <x:xf numFmtId="0" fontId="26" fillId="0" borderId="10" xfId="0" applyNumberFormat="1" applyFont="1" applyFill="1" applyBorder="1" applyAlignment="1">
      <x:alignment vertical="top" wrapText="1"/>
    </x:xf>
    <x:xf numFmtId="0" fontId="26" fillId="0" borderId="9" xfId="0" applyNumberFormat="1" applyFont="1" applyFill="1" applyBorder="1" applyAlignment="1">
      <x:alignment vertical="top" wrapText="1"/>
    </x:xf>
    <x:xf numFmtId="0" fontId="26" fillId="0" borderId="9" xfId="0" applyNumberFormat="1" applyFont="1" applyFill="1" applyBorder="1" applyAlignment="1">
      <x:alignment horizontal="center" vertical="top" wrapText="1"/>
    </x:xf>
    <x:xf numFmtId="0" fontId="26" fillId="0" borderId="9" xfId="0" applyNumberFormat="1" applyFont="1" applyFill="1" applyBorder="1" applyAlignment="1">
      <x:alignment horizontal="center" vertical="center" wrapText="1"/>
    </x:xf>
    <x:xf numFmtId="0" fontId="12" fillId="8" borderId="7" xfId="0" applyNumberFormat="1" applyFont="1" applyFill="1" applyBorder="1" applyAlignment="1">
      <x:alignment vertical="top" wrapText="1"/>
    </x:xf>
    <x:xf numFmtId="0" fontId="12" fillId="8" borderId="10" xfId="0" applyNumberFormat="1" applyFont="1" applyFill="1" applyBorder="1" applyAlignment="1">
      <x:alignment vertical="top" wrapText="1"/>
    </x:xf>
    <x:xf numFmtId="0" fontId="27" fillId="8" borderId="7" xfId="0" applyNumberFormat="1" applyFont="1" applyFill="1" applyBorder="1" applyAlignment="1">
      <x:alignment vertical="top" wrapText="1"/>
    </x:xf>
    <x:xf numFmtId="0" fontId="27" fillId="8" borderId="10" xfId="0" applyNumberFormat="1" applyFont="1" applyFill="1" applyBorder="1" applyAlignment="1">
      <x:alignment vertical="top" wrapText="1"/>
    </x:xf>
    <x:xf numFmtId="0" fontId="27" fillId="8" borderId="9" xfId="0" applyNumberFormat="1" applyFont="1" applyFill="1" applyBorder="1" applyAlignment="1">
      <x:alignment vertical="top" wrapText="1"/>
    </x:xf>
    <x:xf numFmtId="0" fontId="27" fillId="8" borderId="9" xfId="0" applyNumberFormat="1" applyFont="1" applyFill="1" applyBorder="1" applyAlignment="1">
      <x:alignment horizontal="center" vertical="top" wrapText="1"/>
    </x:xf>
    <x:xf numFmtId="0" fontId="27" fillId="8" borderId="9" xfId="0" applyNumberFormat="1" applyFont="1" applyFill="1" applyBorder="1" applyAlignment="1">
      <x:alignment horizontal="center" vertical="center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12" fillId="3" borderId="7" xfId="0" applyNumberFormat="1" applyFont="1" applyFill="1" applyBorder="1" applyAlignment="1">
      <x:alignment vertical="top" wrapText="1"/>
    </x:xf>
    <x:xf numFmtId="0" fontId="12" fillId="6" borderId="10" xfId="0" applyNumberFormat="1" applyFont="1" applyFill="1" applyBorder="1" applyAlignment="1">
      <x:alignment vertical="top" wrapText="1"/>
    </x:xf>
    <x:xf numFmtId="0" fontId="12" fillId="9" borderId="10" xfId="0" applyNumberFormat="1" applyFont="1" applyFill="1" applyBorder="1" applyAlignment="1">
      <x:alignment vertical="top" wrapText="1"/>
    </x:xf>
    <x:xf numFmtId="0" fontId="12" fillId="3" borderId="10" xfId="0" applyNumberFormat="1" applyFont="1" applyFill="1" applyBorder="1" applyAlignment="1">
      <x:alignment vertical="top" wrapText="1"/>
    </x:xf>
    <x:xf numFmtId="0" fontId="28" fillId="3" borderId="7" xfId="0" applyNumberFormat="1" applyFont="1" applyFill="1" applyBorder="1" applyAlignment="1">
      <x:alignment vertical="top" wrapText="1"/>
    </x:xf>
    <x:xf numFmtId="0" fontId="28" fillId="8" borderId="10" xfId="0" applyNumberFormat="1" applyFont="1" applyFill="1" applyBorder="1" applyAlignment="1">
      <x:alignment vertical="top" wrapText="1"/>
    </x:xf>
    <x:xf numFmtId="0" fontId="28" fillId="6" borderId="10" xfId="0" applyNumberFormat="1" applyFont="1" applyFill="1" applyBorder="1" applyAlignment="1">
      <x:alignment vertical="top" wrapText="1"/>
    </x:xf>
    <x:xf numFmtId="0" fontId="28" fillId="9" borderId="10" xfId="0" applyNumberFormat="1" applyFont="1" applyFill="1" applyBorder="1" applyAlignment="1">
      <x:alignment vertical="top" wrapText="1"/>
    </x:xf>
    <x:xf numFmtId="0" fontId="28" fillId="3" borderId="10" xfId="0" applyNumberFormat="1" applyFont="1" applyFill="1" applyBorder="1" applyAlignment="1">
      <x:alignment vertical="top" wrapText="1"/>
    </x:xf>
    <x:xf numFmtId="0" fontId="9" fillId="8" borderId="7" xfId="0" applyNumberFormat="1" applyFont="1" applyFill="1" applyBorder="1" applyAlignment="1">
      <x:alignment vertical="top" wrapText="1"/>
    </x:xf>
    <x:xf numFmtId="0" fontId="9" fillId="8" borderId="10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horizontal="center" vertical="top" wrapText="1"/>
    </x:xf>
    <x:xf numFmtId="0" fontId="13" fillId="2" borderId="0" xfId="0" applyNumberFormat="1" applyFont="1" applyFill="1" applyBorder="1" applyAlignment="1">
      <x:alignment horizontal="left" vertical="top"/>
    </x:xf>
    <x:xf numFmtId="0" fontId="14" fillId="3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/>
    </x:xf>
    <x:xf numFmtId="0" fontId="16" fillId="4" borderId="0" xfId="0" applyNumberFormat="1" applyFont="1" applyFill="1" applyBorder="1" applyAlignment="1">
      <x:alignment horizontal="center" vertical="top"/>
    </x:xf>
    <x:xf numFmtId="0" fontId="17" fillId="5" borderId="1" xfId="0" applyNumberFormat="1" applyFont="1" applyFill="1" applyBorder="1" applyAlignment="1">
      <x:alignment horizontal="center" vertical="top"/>
    </x:xf>
    <x:xf numFmtId="0" fontId="17" fillId="5" borderId="2" xfId="0" applyNumberFormat="1" applyFont="1" applyFill="1" applyBorder="1" applyAlignment="1">
      <x:alignment horizontal="center" vertical="top"/>
    </x:xf>
    <x:xf numFmtId="0" fontId="17" fillId="5" borderId="3" xfId="0" applyNumberFormat="1" applyFont="1" applyFill="1" applyBorder="1" applyAlignment="1">
      <x:alignment horizontal="center" vertical="top"/>
    </x:xf>
    <x:xf numFmtId="0" fontId="18" fillId="6" borderId="1" xfId="0" applyNumberFormat="1" applyFont="1" applyFill="1" applyBorder="1" applyAlignment="1">
      <x:alignment horizontal="left" vertical="top" wrapText="1"/>
    </x:xf>
    <x:xf numFmtId="0" fontId="18" fillId="6" borderId="3" xfId="0" applyNumberFormat="1" applyFont="1" applyFill="1" applyBorder="1" applyAlignment="1">
      <x:alignment horizontal="left" vertical="top" wrapText="1"/>
    </x:xf>
    <x:xf numFmtId="0" fontId="17" fillId="5" borderId="4" xfId="0" applyNumberFormat="1" applyFont="1" applyFill="1" applyBorder="1" applyAlignment="1">
      <x:alignment horizontal="center" vertical="top"/>
    </x:xf>
    <x:xf numFmtId="0" fontId="17" fillId="5" borderId="0" xfId="0" applyNumberFormat="1" applyFont="1" applyFill="1" applyBorder="1" applyAlignment="1">
      <x:alignment horizontal="center" vertical="top"/>
    </x:xf>
    <x:xf numFmtId="0" fontId="17" fillId="5" borderId="5" xfId="0" applyNumberFormat="1" applyFont="1" applyFill="1" applyBorder="1" applyAlignment="1">
      <x:alignment horizontal="center" vertical="top"/>
    </x:xf>
    <x:xf numFmtId="0" fontId="18" fillId="6" borderId="4" xfId="0" applyNumberFormat="1" applyFont="1" applyFill="1" applyBorder="1" applyAlignment="1">
      <x:alignment horizontal="left" vertical="top" wrapText="1"/>
    </x:xf>
    <x:xf numFmtId="0" fontId="18" fillId="6" borderId="5" xfId="0" applyNumberFormat="1" applyFont="1" applyFill="1" applyBorder="1" applyAlignment="1">
      <x:alignment horizontal="left" vertical="top" wrapText="1"/>
    </x:xf>
    <x:xf numFmtId="0" fontId="17" fillId="5" borderId="6" xfId="0" applyNumberFormat="1" applyFont="1" applyFill="1" applyBorder="1" applyAlignment="1">
      <x:alignment horizontal="center" vertical="top"/>
    </x:xf>
    <x:xf numFmtId="0" fontId="17" fillId="5" borderId="7" xfId="0" applyNumberFormat="1" applyFont="1" applyFill="1" applyBorder="1" applyAlignment="1">
      <x:alignment horizontal="center" vertical="top"/>
    </x:xf>
    <x:xf numFmtId="0" fontId="17" fillId="5" borderId="8" xfId="0" applyNumberFormat="1" applyFont="1" applyFill="1" applyBorder="1" applyAlignment="1">
      <x:alignment horizontal="center" vertical="top"/>
    </x:xf>
    <x:xf numFmtId="0" fontId="18" fillId="6" borderId="6" xfId="0" applyNumberFormat="1" applyFont="1" applyFill="1" applyBorder="1" applyAlignment="1">
      <x:alignment horizontal="left" vertical="top" wrapText="1"/>
    </x:xf>
    <x:xf numFmtId="0" fontId="18" fillId="6" borderId="8" xfId="0" applyNumberFormat="1" applyFont="1" applyFill="1" applyBorder="1" applyAlignment="1">
      <x:alignment horizontal="left" vertical="top" wrapText="1"/>
    </x:xf>
    <x:xf numFmtId="0" fontId="19" fillId="2" borderId="0" xfId="0" applyNumberFormat="1" applyFont="1" applyFill="1" applyBorder="1" applyAlignment="1">
      <x:alignment vertical="top"/>
    </x:xf>
    <x:xf numFmtId="0" fontId="19" fillId="7" borderId="0" xfId="0" applyNumberFormat="1" applyFont="1" applyFill="1" applyBorder="1" applyAlignment="1">
      <x:alignment vertical="top"/>
    </x:xf>
    <x:xf numFmtId="0" fontId="20" fillId="3" borderId="1" xfId="0" applyNumberFormat="1" applyFont="1" applyFill="1" applyBorder="1" applyAlignment="1">
      <x:alignment vertical="top" wrapText="1"/>
    </x:xf>
    <x:xf numFmtId="0" fontId="20" fillId="3" borderId="2" xfId="0" applyNumberFormat="1" applyFont="1" applyFill="1" applyBorder="1" applyAlignment="1">
      <x:alignment vertical="top" wrapText="1"/>
    </x:xf>
    <x:xf numFmtId="0" fontId="20" fillId="3" borderId="3" xfId="0" applyNumberFormat="1" applyFont="1" applyFill="1" applyBorder="1" applyAlignment="1">
      <x:alignment vertical="top" wrapText="1"/>
    </x:xf>
    <x:xf numFmtId="0" fontId="21" fillId="8" borderId="9" xfId="0" applyNumberFormat="1" applyFont="1" applyFill="1" applyBorder="1" applyAlignment="1">
      <x:alignment horizontal="center" vertical="top" wrapText="1"/>
    </x:xf>
    <x:xf numFmtId="0" fontId="22" fillId="5" borderId="9" xfId="0" applyNumberFormat="1" applyFont="1" applyFill="1" applyBorder="1" applyAlignment="1">
      <x:alignment vertical="top" wrapText="1"/>
    </x:xf>
    <x:xf numFmtId="0" fontId="23" fillId="5" borderId="9" xfId="0" applyNumberFormat="1" applyFont="1" applyFill="1" applyBorder="1" applyAlignment="1">
      <x:alignment vertical="top" wrapText="1"/>
    </x:xf>
    <x:xf numFmtId="0" fontId="20" fillId="3" borderId="4" xfId="0" applyNumberFormat="1" applyFont="1" applyFill="1" applyBorder="1" applyAlignment="1">
      <x:alignment vertical="top" wrapText="1"/>
    </x:xf>
    <x:xf numFmtId="0" fontId="20" fillId="3" borderId="0" xfId="0" applyNumberFormat="1" applyFont="1" applyFill="1" applyBorder="1" applyAlignment="1">
      <x:alignment vertical="top" wrapText="1"/>
    </x:xf>
    <x:xf numFmtId="0" fontId="20" fillId="3" borderId="5" xfId="0" applyNumberFormat="1" applyFont="1" applyFill="1" applyBorder="1" applyAlignment="1">
      <x:alignment vertical="top" wrapText="1"/>
    </x:xf>
    <x:xf numFmtId="0" fontId="20" fillId="3" borderId="6" xfId="0" applyNumberFormat="1" applyFont="1" applyFill="1" applyBorder="1" applyAlignment="1">
      <x:alignment vertical="top" wrapText="1"/>
    </x:xf>
    <x:xf numFmtId="0" fontId="20" fillId="3" borderId="7" xfId="0" applyNumberFormat="1" applyFont="1" applyFill="1" applyBorder="1" applyAlignment="1">
      <x:alignment vertical="top" wrapText="1"/>
    </x:xf>
    <x:xf numFmtId="0" fontId="20" fillId="3" borderId="8" xfId="0" applyNumberFormat="1" applyFont="1" applyFill="1" applyBorder="1" applyAlignment="1">
      <x:alignment vertical="top" wrapText="1"/>
    </x:xf>
    <x:xf numFmtId="0" fontId="24" fillId="4" borderId="9" xfId="0" applyNumberFormat="1" applyFont="1" applyFill="1" applyBorder="1" applyAlignment="1">
      <x:alignment horizontal="center" vertical="top" wrapText="1"/>
    </x:xf>
    <x:xf numFmtId="0" fontId="29" fillId="0" borderId="9" xfId="0" applyNumberFormat="1" applyFont="1" applyFill="1" applyBorder="1" applyAlignment="1">
      <x:alignment horizontal="center" vertical="center" wrapText="1"/>
    </x:xf>
    <x:xf numFmtId="0" fontId="29" fillId="0" borderId="9" xfId="0" applyNumberFormat="1" applyFont="1" applyFill="1" applyBorder="1" applyAlignment="1">
      <x:alignment horizontal="center" vertical="top" wrapText="1"/>
    </x:xf>
    <x:xf numFmtId="0" fontId="30" fillId="8" borderId="9" xfId="0" applyNumberFormat="1" applyFont="1" applyFill="1" applyBorder="1" applyAlignment="1">
      <x:alignment horizontal="center" vertical="center" wrapText="1"/>
    </x:xf>
    <x:xf numFmtId="0" fontId="22" fillId="0" borderId="7" xfId="0" applyNumberFormat="1" applyFont="1" applyFill="1" applyBorder="1" applyAlignment="1">
      <x:alignment vertical="top" wrapText="1"/>
    </x:xf>
    <x:xf numFmtId="0" fontId="22" fillId="0" borderId="10" xfId="0" applyNumberFormat="1" applyFont="1" applyFill="1" applyBorder="1" applyAlignment="1">
      <x:alignment vertical="top" wrapText="1"/>
    </x:xf>
    <x:xf numFmtId="0" fontId="30" fillId="8" borderId="9" xfId="0" applyNumberFormat="1" applyFont="1" applyFill="1" applyBorder="1" applyAlignment="1">
      <x:alignment horizontal="center" vertical="top" wrapText="1"/>
    </x:xf>
    <x:xf numFmtId="0" fontId="31" fillId="3" borderId="7" xfId="0" applyNumberFormat="1" applyFont="1" applyFill="1" applyBorder="1" applyAlignment="1">
      <x:alignment vertical="top" wrapText="1"/>
    </x:xf>
    <x:xf numFmtId="0" fontId="25" fillId="3" borderId="7" xfId="0" applyNumberFormat="1" applyFont="1" applyFill="1" applyBorder="1" applyAlignment="1">
      <x:alignment vertical="top" wrapText="1"/>
    </x:xf>
    <x:xf numFmtId="0" fontId="31" fillId="8" borderId="10" xfId="0" applyNumberFormat="1" applyFont="1" applyFill="1" applyBorder="1" applyAlignment="1">
      <x:alignment vertical="top" wrapText="1"/>
    </x:xf>
    <x:xf numFmtId="0" fontId="25" fillId="8" borderId="10" xfId="0" applyNumberFormat="1" applyFont="1" applyFill="1" applyBorder="1" applyAlignment="1">
      <x:alignment vertical="top" wrapText="1"/>
    </x:xf>
    <x:xf numFmtId="0" fontId="31" fillId="6" borderId="10" xfId="0" applyNumberFormat="1" applyFont="1" applyFill="1" applyBorder="1" applyAlignment="1">
      <x:alignment vertical="top" wrapText="1"/>
    </x:xf>
    <x:xf numFmtId="0" fontId="25" fillId="6" borderId="10" xfId="0" applyNumberFormat="1" applyFont="1" applyFill="1" applyBorder="1" applyAlignment="1">
      <x:alignment vertical="top" wrapText="1"/>
    </x:xf>
    <x:xf numFmtId="0" fontId="31" fillId="9" borderId="10" xfId="0" applyNumberFormat="1" applyFont="1" applyFill="1" applyBorder="1" applyAlignment="1">
      <x:alignment vertical="top" wrapText="1"/>
    </x:xf>
    <x:xf numFmtId="0" fontId="25" fillId="9" borderId="10" xfId="0" applyNumberFormat="1" applyFont="1" applyFill="1" applyBorder="1" applyAlignment="1">
      <x:alignment vertical="top" wrapText="1"/>
    </x:xf>
    <x:xf numFmtId="0" fontId="31" fillId="3" borderId="10" xfId="0" applyNumberFormat="1" applyFont="1" applyFill="1" applyBorder="1" applyAlignment="1">
      <x:alignment vertical="top" wrapText="1"/>
    </x:xf>
    <x:xf numFmtId="0" fontId="25" fillId="3" borderId="10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 applyAlignment="1">
      <x:alignment vertical="top"/>
    </x:xf>
    <x:xf numFmtId="0" fontId="13" fillId="2" borderId="0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32" fillId="8" borderId="0" xfId="0" applyNumberFormat="1" applyFont="1" applyFill="1" applyBorder="1"/>
    <x:xf numFmtId="0" fontId="32" fillId="8" borderId="0" xfId="0" applyNumberFormat="1" applyFont="1" applyFill="1" applyBorder="1" applyAlignment="1">
      <x:alignment wrapText="1"/>
    </x:xf>
    <x:xf numFmtId="0" fontId="32" fillId="8" borderId="0" xfId="0" applyNumberFormat="1" applyFont="1" applyFill="1" applyBorder="1" applyAlignment="1">
      <x:alignment vertical="center" wrapText="1"/>
    </x:xf>
    <x:xf numFmtId="202" fontId="11" fillId="4" borderId="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3" fillId="9" borderId="0" xfId="0" applyNumberFormat="1" applyFont="1" applyFill="1" applyBorder="1"/>
    <x:xf numFmtId="0" fontId="33" fillId="9" borderId="9" xfId="0" applyNumberFormat="1" applyFont="1" applyFill="1" applyBorder="1"/>
    <x:xf numFmtId="0" fontId="33" fillId="9" borderId="9" xfId="0" applyNumberFormat="1" applyFont="1" applyFill="1" applyBorder="1" applyAlignment="1">
      <x:alignment horizontal="center"/>
    </x:xf>
    <x:xf numFmtId="0" fontId="33" fillId="9" borderId="9" xfId="0" applyNumberFormat="1" applyFont="1" applyFill="1" applyBorder="1" applyAlignment="1">
      <x:alignment horizontal="center" vertical="center"/>
    </x:xf>
    <x:xf numFmtId="0" fontId="34" fillId="9" borderId="0" xfId="0" applyNumberFormat="1" applyFont="1" applyFill="1" applyBorder="1"/>
    <x:xf numFmtId="0" fontId="34" fillId="9" borderId="9" xfId="0" applyNumberFormat="1" applyFont="1" applyFill="1" applyBorder="1"/>
    <x:xf numFmtId="0" fontId="34" fillId="9" borderId="9" xfId="0" applyNumberFormat="1" applyFont="1" applyFill="1" applyBorder="1" applyAlignment="1">
      <x:alignment horizontal="center"/>
    </x:xf>
    <x:xf numFmtId="0" fontId="34" fillId="9" borderId="9" xfId="0" applyNumberFormat="1" applyFont="1" applyFill="1" applyBorder="1" applyAlignment="1">
      <x:alignment horizontal="center" vertical="center"/>
    </x:xf>
    <x:xf numFmtId="0" fontId="35" fillId="9" borderId="0" xfId="0" applyNumberFormat="1" applyFont="1" applyFill="1" applyBorder="1"/>
    <x:xf numFmtId="0" fontId="35" fillId="9" borderId="9" xfId="0" applyNumberFormat="1" applyFont="1" applyFill="1" applyBorder="1"/>
    <x:xf numFmtId="0" fontId="35" fillId="9" borderId="9" xfId="0" applyNumberFormat="1" applyFont="1" applyFill="1" applyBorder="1" applyAlignment="1">
      <x:alignment horizontal="center"/>
    </x:xf>
    <x:xf numFmtId="0" fontId="35" fillId="9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6"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32a0f4bcf4b13" /><Relationship Type="http://schemas.openxmlformats.org/officeDocument/2006/relationships/theme" Target="/xl/theme/theme1.xml" Id="R18e30fc6617048bd" /><Relationship Type="http://schemas.openxmlformats.org/officeDocument/2006/relationships/sharedStrings" Target="/xl/sharedStrings.xml" Id="R05057079c1d64296" /><Relationship Type="http://schemas.openxmlformats.org/officeDocument/2006/relationships/worksheet" Target="/xl/worksheets/sheet1.xml" Id="R6ef24f6383b2423b" /><Relationship Type="http://schemas.openxmlformats.org/officeDocument/2006/relationships/worksheet" Target="/xl/worksheets/sheet2.xml" Id="R2e9f7582cfce4a4a" /><Relationship Type="http://schemas.openxmlformats.org/officeDocument/2006/relationships/worksheet" Target="/xl/worksheets/sheet3.xml" Id="Rf76e4c530d2e4479" /><Relationship Type="http://schemas.openxmlformats.org/officeDocument/2006/relationships/worksheet" Target="/xl/worksheets/sheet4.xml" Id="R144e320ee07b441f" /><Relationship Type="http://schemas.openxmlformats.org/officeDocument/2006/relationships/worksheet" Target="/xl/worksheets/sheet5.xml" Id="R063df36fc6cd443f" /><Relationship Type="http://schemas.openxmlformats.org/officeDocument/2006/relationships/worksheet" Target="/xl/worksheets/sheet6.xml" Id="R36e51ee0d6a44295" /><Relationship Type="http://schemas.openxmlformats.org/officeDocument/2006/relationships/worksheet" Target="/xl/worksheets/sheet7.xml" Id="Rab210d188c1a4c73" /><Relationship Type="http://schemas.openxmlformats.org/officeDocument/2006/relationships/worksheet" Target="/xl/worksheets/sheet8.xml" Id="R4d0dba93b01b41bb" /><Relationship Type="http://schemas.openxmlformats.org/officeDocument/2006/relationships/worksheet" Target="/xl/worksheets/sheet9.xml" Id="R8996bc66f1024bfd" /><Relationship Type="http://schemas.openxmlformats.org/officeDocument/2006/relationships/worksheet" Target="/xl/worksheets/sheet10.xml" Id="Rd196c64fb8174fe2" /></Relationships>
</file>

<file path=xl/tables/table1.xml><?xml version="1.0" encoding="utf-8"?>
<x:table xmlns:x="http://schemas.openxmlformats.org/spreadsheetml/2006/main" id="1" name="CapabilityRegisterTable" displayName="CapabilityRegisterTable" ref="A5:I25" headerRowCount="1" totalsRowCount="0" totalsRowShown="0">
  <x:tableColumns count="9">
    <x:tableColumn id="1" name="ID"/>
    <x:tableColumn id="2" name="Layer / Workstream"/>
    <x:tableColumn id="3" name="Capability"/>
    <x:tableColumn id="4" name="Project / Surface"/>
    <x:tableColumn id="5" name="Customer outcome"/>
    <x:tableColumn id="6" name="Status"/>
    <x:tableColumn id="7" name="% Complete"/>
    <x:tableColumn id="8" name="Evidence basis"/>
    <x:tableColumn id="9" name="Evidence URL /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iveryPlanTable" displayName="DeliveryPlanTable" ref="A5:N26" headerRowCount="1" totalsRowCount="0" totalsRowShown="0">
  <x:tableColumns count="14">
    <x:tableColumn id="1" name="ID"/>
    <x:tableColumn id="2" name="Workstream"/>
    <x:tableColumn id="3" name="Capability ID"/>
    <x:tableColumn id="4" name="Deliverable"/>
    <x:tableColumn id="5" name="Status"/>
    <x:tableColumn id="6" name="% Complete"/>
    <x:tableColumn id="7" name="Owner"/>
    <x:tableColumn id="8" name="Start"/>
    <x:tableColumn id="9" name="Due"/>
    <x:tableColumn id="10" name="Dependency"/>
    <x:tableColumn id="11" name="Acceptance / Exit Gate"/>
    <x:tableColumn id="12" name="Evidence URL"/>
    <x:tableColumn id="13" name="Next Action"/>
    <x:tableColumn id="14" name="R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admapTable" displayName="RoadmapTable" ref="A5:J10" headerRowCount="1" totalsRowCount="0" totalsRowShown="0">
  <x:tableColumns count="10">
    <x:tableColumn id="1" name="Phase"/>
    <x:tableColumn id="2" name="Stage"/>
    <x:tableColumn id="3" name="Start"/>
    <x:tableColumn id="4" name="End"/>
    <x:tableColumn id="5" name="Objective"/>
    <x:tableColumn id="6" name="Capability bundle"/>
    <x:tableColumn id="7" name="Exit Gate"/>
    <x:tableColumn id="8" name="Commitment"/>
    <x:tableColumn id="9" name="Status"/>
    <x:tableColumn id="10" name="Business 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MapTable" displayName="ProductMapTable" ref="A5:F14" headerRowCount="1" totalsRowCount="0" totalsRowShown="0">
  <x:tableColumns count="6">
    <x:tableColumn id="1" name="Step"/>
    <x:tableColumn id="2" name="Layer"/>
    <x:tableColumn id="3" name="Input"/>
    <x:tableColumn id="4" name="What the product does"/>
    <x:tableColumn id="5" name="Customer-facing output"/>
    <x:tableColumn id="6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idDecisionTable" displayName="RaidDecisionTable" ref="A5:K14" headerRowCount="1" totalsRowCount="0" totalsRowShown="0">
  <x:tableColumns count="11">
    <x:tableColumn id="1" name="ID"/>
    <x:tableColumn id="2" name="Type"/>
    <x:tableColumn id="3" name="Area"/>
    <x:tableColumn id="4" name="Description"/>
    <x:tableColumn id="5" name="Impact"/>
    <x:tableColumn id="6" name="Severity"/>
    <x:tableColumn id="7" name="Owner"/>
    <x:tableColumn id="8" name="Due"/>
    <x:tableColumn id="9" name="Status"/>
    <x:tableColumn id="10" name="Mitigation / Decision"/>
    <x:tableColumn id="11" name="Escalation Trigg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RegisterTable" displayName="EvidenceRegisterTable" ref="A5:G15" headerRowCount="1" totalsRowCount="0" totalsRowShown="0">
  <x:tableColumns count="7">
    <x:tableColumn id="1" name="ID"/>
    <x:tableColumn id="2" name="Evidence type"/>
    <x:tableColumn id="3" name="Reference"/>
    <x:tableColumn id="4" name="What it supports"/>
    <x:tableColumn id="5" name="As of"/>
    <x:tableColumn id="6" name="Evidence level"/>
    <x:tableColumn id="7" name="URL /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627147f70845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7c1e8a51f44f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4e9f3100e24a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8623dc70254a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d5bbfbec2ba4e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1f16eccd677b47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2" hidden="0" customWidth="1"/>
    <x:col min="16" max="16" width="22" hidden="0" customWidth="1"/>
  </x:cols>
  <x:sheetData>
    <x:row r="1" ht="34" customHeight="1">
      <x:c r="A1" s="191" t="str">
        <x:v>EnergyIQ Product &amp; Delivery Control Tower</x:v>
      </x:c>
      <x:c r="B1" s="191" t="str">
        <x:v>EnergyIQ Product &amp; Delivery Control Tower</x:v>
      </x:c>
      <x:c r="C1" s="191" t="str">
        <x:v>EnergyIQ Product &amp; Delivery Control Tower</x:v>
      </x:c>
      <x:c r="D1" s="191" t="str">
        <x:v>EnergyIQ Product &amp; Delivery Control Tower</x:v>
      </x:c>
      <x:c r="E1" s="191" t="str">
        <x:v>EnergyIQ Product &amp; Delivery Control Tower</x:v>
      </x:c>
      <x:c r="F1" s="191" t="str">
        <x:v>EnergyIQ Product &amp; Delivery Control Tower</x:v>
      </x:c>
      <x:c r="G1" s="191" t="str">
        <x:v>EnergyIQ Product &amp; Delivery Control Tower</x:v>
      </x:c>
      <x:c r="H1" s="191" t="str">
        <x:v>EnergyIQ Product &amp; Delivery Control Tower</x:v>
      </x:c>
      <x:c r="I1" s="191" t="str">
        <x:v>EnergyIQ Product &amp; Delivery Control Tower</x:v>
      </x:c>
      <x:c r="J1" s="191" t="str">
        <x:v>EnergyIQ Product &amp; Delivery Control Tower</x:v>
      </x:c>
      <x:c r="K1" s="191" t="str">
        <x:v>EnergyIQ Product &amp; Delivery Control Tower</x:v>
      </x:c>
      <x:c r="L1" s="191" t="str">
        <x:v>EnergyIQ Product &amp; Delivery Control Tower</x:v>
      </x:c>
      <x:c r="M1" s="191" t="str">
        <x:v>EnergyIQ Product &amp; Delivery Control Tower</x:v>
      </x:c>
      <x:c r="N1" s="191" t="str">
        <x:v>EnergyIQ Product &amp; Delivery Control Tower</x:v>
      </x:c>
      <x:c r="O1" s="191" t="str">
        <x:v>EnergyIQ Product &amp; Delivery Control Tower</x:v>
      </x:c>
      <x:c r="P1" s="191" t="str">
        <x:v>EnergyIQ Product &amp; Delivery Control Tower</x:v>
      </x:c>
    </x:row>
    <x:row r="2" ht="28" customHeight="1">
      <x:c r="A2" s="192" t="str">
        <x:v>Management draft · verified against main@7070843 and GitHub Issues on 17 Aug 2026 · dates are indicative until owners confirm</x:v>
      </x:c>
      <x:c r="B2" s="192" t="str">
        <x:v>Management draft · verified against main@7070843 and GitHub Issues on 17 Aug 2026 · dates are indicative until owners confirm</x:v>
      </x:c>
      <x:c r="C2" s="192" t="str">
        <x:v>Management draft · verified against main@7070843 and GitHub Issues on 17 Aug 2026 · dates are indicative until owners confirm</x:v>
      </x:c>
      <x:c r="D2" s="192" t="str">
        <x:v>Management draft · verified against main@7070843 and GitHub Issues on 17 Aug 2026 · dates are indicative until owners confirm</x:v>
      </x:c>
      <x:c r="E2" s="192" t="str">
        <x:v>Management draft · verified against main@7070843 and GitHub Issues on 17 Aug 2026 · dates are indicative until owners confirm</x:v>
      </x:c>
      <x:c r="F2" s="192" t="str">
        <x:v>Management draft · verified against main@7070843 and GitHub Issues on 17 Aug 2026 · dates are indicative until owners confirm</x:v>
      </x:c>
      <x:c r="G2" s="192" t="str">
        <x:v>Management draft · verified against main@7070843 and GitHub Issues on 17 Aug 2026 · dates are indicative until owners confirm</x:v>
      </x:c>
      <x:c r="H2" s="192" t="str">
        <x:v>Management draft · verified against main@7070843 and GitHub Issues on 17 Aug 2026 · dates are indicative until owners confirm</x:v>
      </x:c>
      <x:c r="I2" s="192" t="str">
        <x:v>Management draft · verified against main@7070843 and GitHub Issues on 17 Aug 2026 · dates are indicative until owners confirm</x:v>
      </x:c>
      <x:c r="J2" s="192" t="str">
        <x:v>Management draft · verified against main@7070843 and GitHub Issues on 17 Aug 2026 · dates are indicative until owners confirm</x:v>
      </x:c>
      <x:c r="K2" s="192" t="str">
        <x:v>Management draft · verified against main@7070843 and GitHub Issues on 17 Aug 2026 · dates are indicative until owners confirm</x:v>
      </x:c>
      <x:c r="L2" s="192" t="str">
        <x:v>Management draft · verified against main@7070843 and GitHub Issues on 17 Aug 2026 · dates are indicative until owners confirm</x:v>
      </x:c>
      <x:c r="M2" s="192" t="str">
        <x:v>Management draft · verified against main@7070843 and GitHub Issues on 17 Aug 2026 · dates are indicative until owners confirm</x:v>
      </x:c>
      <x:c r="N2" s="192" t="str">
        <x:v>Management draft · verified against main@7070843 and GitHub Issues on 17 Aug 2026 · dates are indicative until owners confirm</x:v>
      </x:c>
      <x:c r="O2" s="192" t="str">
        <x:v>Management draft · verified against main@7070843 and GitHub Issues on 17 Aug 2026 · dates are indicative until owners confirm</x:v>
      </x:c>
      <x:c r="P2" s="192" t="str">
        <x:v>Management draft · verified against main@7070843 and GitHub Issues on 17 Aug 2026 · dates are indicative until owners confirm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  <x:c r="J3" s="193"/>
      <x:c r="K3" s="193"/>
      <x:c r="L3" s="193"/>
      <x:c r="M3" s="193"/>
      <x:c r="N3" s="193"/>
      <x:c r="O3" s="193"/>
      <x:c r="P3" s="193"/>
    </x:row>
    <x:row r="4">
      <x:c r="A4" s="194" t="str">
        <x:v>CAPABILITIES</x:v>
      </x:c>
      <x:c r="B4" s="194" t="str"/>
      <x:c r="C4" s="194" t="str">
        <x:v>ENGINEERING VERIFIED</x:v>
      </x:c>
      <x:c r="D4" s="194" t="str"/>
      <x:c r="E4" s="194" t="str">
        <x:v>IN VALIDATION</x:v>
      </x:c>
      <x:c r="F4" s="194" t="str"/>
      <x:c r="G4" s="194" t="str">
        <x:v>IN PROGRESS</x:v>
      </x:c>
      <x:c r="H4" s="194" t="str"/>
      <x:c r="I4" s="194" t="str">
        <x:v>PLANNED / DISCOVERY</x:v>
      </x:c>
      <x:c r="J4" s="194" t="str"/>
      <x:c r="K4" s="194" t="str">
        <x:v>OPEN DECISIONS</x:v>
      </x:c>
      <x:c r="L4" s="194" t="str"/>
      <x:c r="M4" s="194" t="str">
        <x:v>OVERALL RAG</x:v>
      </x:c>
      <x:c r="N4" s="194" t="str"/>
      <x:c r="O4" s="194" t="str">
        <x:v>STATUS BASIS</x:v>
      </x:c>
      <x:c r="P4" s="194" t="str"/>
    </x:row>
    <x:row r="5">
      <x:c r="A5" s="195" t="n">
        <x:f>COUNTA('01_Capability_Register'!$A$6:$A$40)</x:f>
        <x:v>20</x:v>
      </x:c>
      <x:c r="B5" s="196"/>
      <x:c r="C5" s="196" t="n">
        <x:f>COUNTIF('01_Capability_Register'!$F$6:$F$40,"Engineering Verified")</x:f>
        <x:v>6</x:v>
      </x:c>
      <x:c r="D5" s="196"/>
      <x:c r="E5" s="196" t="n">
        <x:f>COUNTIF('01_Capability_Register'!$F$6:$F$40,"Acceptance Pending")</x:f>
        <x:v>7</x:v>
      </x:c>
      <x:c r="F5" s="196"/>
      <x:c r="G5" s="196" t="n">
        <x:f>COUNTIF('01_Capability_Register'!$F$6:$F$40,"In Progress")</x:f>
        <x:v>1</x:v>
      </x:c>
      <x:c r="H5" s="196"/>
      <x:c r="I5" s="196" t="n">
        <x:f>COUNTIF('01_Capability_Register'!$F$6:$F$40,"Planned")+COUNTIF('01_Capability_Register'!$F$6:$F$40,"Discovery")</x:f>
        <x:v>6</x:v>
      </x:c>
      <x:c r="J5" s="196"/>
      <x:c r="K5" s="196" t="n">
        <x:f>COUNTIFS('07_RAID_Decisions'!$B$6:$B$40,"Decision",'07_RAID_Decisions'!$I$6:$I$40,"Open")</x:f>
        <x:v>3</x:v>
      </x:c>
      <x:c r="L5" s="196"/>
      <x:c r="M5" s="196" t="str">
        <x:f>IF(COUNTIF('02_Delivery_Plan'!$N$6:$N$50,"Red")&gt;0,"RED",IF(COUNTIF('02_Delivery_Plan'!$N$6:$N$50,"Amber")&gt;0,"AMBER","GREEN"))</x:f>
        <x:v>AMBER</x:v>
      </x:c>
      <x:c r="N5" s="197"/>
      <x:c r="O5" s="198" t="str">
        <x:v>Engineering evidence strong; customer acceptance and cross-project repeatability remain the release gate.</x:v>
      </x:c>
      <x:c r="P5" s="199"/>
    </x:row>
    <x:row r="6">
      <x:c r="A6" s="200"/>
      <x:c r="B6" s="201"/>
      <x:c r="C6" s="201"/>
      <x:c r="D6" s="201"/>
      <x:c r="E6" s="201"/>
      <x:c r="F6" s="201"/>
      <x:c r="G6" s="201"/>
      <x:c r="H6" s="201"/>
      <x:c r="I6" s="201"/>
      <x:c r="J6" s="201"/>
      <x:c r="K6" s="201"/>
      <x:c r="L6" s="201"/>
      <x:c r="M6" s="201"/>
      <x:c r="N6" s="202"/>
      <x:c r="O6" s="203"/>
      <x:c r="P6" s="204"/>
    </x:row>
    <x:row r="7">
      <x:c r="A7" s="205"/>
      <x:c r="B7" s="206"/>
      <x:c r="C7" s="206"/>
      <x:c r="D7" s="206"/>
      <x:c r="E7" s="206"/>
      <x:c r="F7" s="206"/>
      <x:c r="G7" s="206"/>
      <x:c r="H7" s="206"/>
      <x:c r="I7" s="206"/>
      <x:c r="J7" s="206"/>
      <x:c r="K7" s="206"/>
      <x:c r="L7" s="206"/>
      <x:c r="M7" s="206"/>
      <x:c r="N7" s="207"/>
      <x:c r="O7" s="208"/>
      <x:c r="P7" s="209"/>
    </x:row>
    <x:row r="8">
      <x:c r="A8" s="193"/>
      <x:c r="B8" s="193"/>
      <x:c r="C8" s="193"/>
      <x:c r="D8" s="193"/>
      <x:c r="E8" s="193"/>
      <x:c r="F8" s="193"/>
      <x:c r="G8" s="193"/>
      <x:c r="H8" s="193"/>
      <x:c r="I8" s="193"/>
      <x:c r="J8" s="193"/>
      <x:c r="K8" s="193"/>
      <x:c r="L8" s="193"/>
      <x:c r="M8" s="193"/>
      <x:c r="N8" s="193"/>
      <x:c r="O8" s="193"/>
      <x:c r="P8" s="193"/>
    </x:row>
    <x:row r="9">
      <x:c r="A9" s="193"/>
      <x:c r="B9" s="193"/>
      <x:c r="C9" s="193"/>
      <x:c r="D9" s="193"/>
      <x:c r="E9" s="193"/>
      <x:c r="F9" s="193"/>
      <x:c r="G9" s="193"/>
      <x:c r="H9" s="193"/>
      <x:c r="I9" s="193"/>
      <x:c r="J9" s="193"/>
      <x:c r="K9" s="193"/>
      <x:c r="L9" s="193"/>
      <x:c r="M9" s="193"/>
      <x:c r="N9" s="193"/>
      <x:c r="O9" s="193"/>
      <x:c r="P9" s="193"/>
    </x:row>
    <x:row r="10">
      <x:c r="A10" s="210" t="str">
        <x:v>CURRENT MANAGEMENT CONCLUSION</x:v>
      </x:c>
      <x:c r="B10" s="210"/>
      <x:c r="C10" s="210"/>
      <x:c r="D10" s="210"/>
      <x:c r="E10" s="210"/>
      <x:c r="F10" s="210"/>
      <x:c r="G10" s="210"/>
      <x:c r="H10" s="210"/>
      <x:c r="I10" s="193"/>
      <x:c r="J10" s="211" t="str">
        <x:v>NEXT THREE GATES</x:v>
      </x:c>
      <x:c r="K10" s="211"/>
      <x:c r="L10" s="211"/>
      <x:c r="M10" s="211"/>
      <x:c r="N10" s="211"/>
      <x:c r="O10" s="211"/>
      <x:c r="P10" s="211"/>
    </x:row>
    <x:row r="11">
      <x:c r="A11" s="212" t="str">
        <x:v>EnergyIQ has moved beyond a static dashboard: the trusted data foundation, project-specific Overviews, AI Analyst and Preschool Layer 1–3/A→B are engineered. The next value gate is human acceptance, Ngee Ann repeatability and a feedback loop that turns useful Insights into reusable Methods/SOPs.</x:v>
      </x:c>
      <x:c r="B11" s="213"/>
      <x:c r="C11" s="213"/>
      <x:c r="D11" s="213"/>
      <x:c r="E11" s="213"/>
      <x:c r="F11" s="213"/>
      <x:c r="G11" s="213"/>
      <x:c r="H11" s="214"/>
      <x:c r="I11" s="193"/>
      <x:c r="J11" s="215" t="str">
        <x:v>G1</x:v>
      </x:c>
      <x:c r="K11" s="216" t="str">
        <x:v>Customer acceptance</x:v>
      </x:c>
      <x:c r="L11" s="217" t="str">
        <x:v>Charles + Ngee accounts complete critical journeys</x:v>
      </x:c>
      <x:c r="M11" s="217" t="str"/>
      <x:c r="N11" s="217" t="str"/>
      <x:c r="O11" s="217" t="str"/>
      <x:c r="P11" s="217" t="str"/>
    </x:row>
    <x:row r="12">
      <x:c r="A12" s="218"/>
      <x:c r="B12" s="219"/>
      <x:c r="C12" s="219"/>
      <x:c r="D12" s="219"/>
      <x:c r="E12" s="219"/>
      <x:c r="F12" s="219"/>
      <x:c r="G12" s="219"/>
      <x:c r="H12" s="220"/>
      <x:c r="I12" s="193"/>
      <x:c r="J12" s="215" t="str">
        <x:v>G2</x:v>
      </x:c>
      <x:c r="K12" s="216" t="str">
        <x:v>Cross-project repeatability</x:v>
      </x:c>
      <x:c r="L12" s="217" t="str">
        <x:v>Ngee Layer 1–3 and A/B pass without stale Artifacts</x:v>
      </x:c>
      <x:c r="M12" s="217" t="str"/>
      <x:c r="N12" s="217" t="str"/>
      <x:c r="O12" s="217" t="str"/>
      <x:c r="P12" s="217" t="str"/>
    </x:row>
    <x:row r="13">
      <x:c r="A13" s="218"/>
      <x:c r="B13" s="219"/>
      <x:c r="C13" s="219"/>
      <x:c r="D13" s="219"/>
      <x:c r="E13" s="219"/>
      <x:c r="F13" s="219"/>
      <x:c r="G13" s="219"/>
      <x:c r="H13" s="220"/>
      <x:c r="I13" s="193"/>
      <x:c r="J13" s="215" t="str">
        <x:v>G3</x:v>
      </x:c>
      <x:c r="K13" s="216" t="str">
        <x:v>Learning loop</x:v>
      </x:c>
      <x:c r="L13" s="217" t="str">
        <x:v>One useful Insight becomes an approved reusable Method</x:v>
      </x:c>
      <x:c r="M13" s="217" t="str"/>
      <x:c r="N13" s="217" t="str"/>
      <x:c r="O13" s="217" t="str"/>
      <x:c r="P13" s="217" t="str"/>
    </x:row>
    <x:row r="14">
      <x:c r="A14" s="221"/>
      <x:c r="B14" s="222"/>
      <x:c r="C14" s="222"/>
      <x:c r="D14" s="222"/>
      <x:c r="E14" s="222"/>
      <x:c r="F14" s="222"/>
      <x:c r="G14" s="222"/>
      <x:c r="H14" s="223"/>
      <x:c r="I14" s="193"/>
      <x:c r="J14" s="193"/>
      <x:c r="K14" s="193"/>
      <x:c r="L14" s="193"/>
      <x:c r="M14" s="193"/>
      <x:c r="N14" s="193"/>
      <x:c r="O14" s="193"/>
      <x:c r="P14" s="193"/>
    </x:row>
    <x:row r="15">
      <x:c r="A15" s="193"/>
      <x:c r="B15" s="193"/>
      <x:c r="C15" s="193"/>
      <x:c r="D15" s="193"/>
      <x:c r="E15" s="193"/>
      <x:c r="F15" s="193"/>
      <x:c r="G15" s="193"/>
      <x:c r="H15" s="193"/>
      <x:c r="I15" s="193"/>
      <x:c r="J15" s="193"/>
      <x:c r="K15" s="193"/>
      <x:c r="L15" s="193"/>
      <x:c r="M15" s="193"/>
      <x:c r="N15" s="193"/>
      <x:c r="O15" s="193"/>
      <x:c r="P15" s="193"/>
    </x:row>
    <x:row r="16">
      <x:c r="A16" s="193"/>
      <x:c r="B16" s="193"/>
      <x:c r="C16" s="193"/>
      <x:c r="D16" s="193"/>
      <x:c r="E16" s="193"/>
      <x:c r="F16" s="193"/>
      <x:c r="G16" s="193"/>
      <x:c r="H16" s="193"/>
      <x:c r="I16" s="193"/>
      <x:c r="J16" s="193"/>
      <x:c r="K16" s="193"/>
      <x:c r="L16" s="193"/>
      <x:c r="M16" s="193"/>
      <x:c r="N16" s="193"/>
      <x:c r="O16" s="193"/>
      <x:c r="P16" s="193"/>
    </x:row>
    <x:row r="17">
      <x:c r="A17" s="210" t="str">
        <x:v>DELIVERY HEALTH BY WORKSTREAM</x:v>
      </x:c>
      <x:c r="B17" s="210"/>
      <x:c r="C17" s="210"/>
      <x:c r="D17" s="210"/>
      <x:c r="E17" s="210"/>
      <x:c r="F17" s="210"/>
      <x:c r="G17" s="210"/>
      <x:c r="H17" s="210"/>
      <x:c r="I17" s="210"/>
      <x:c r="J17" s="210"/>
      <x:c r="K17" s="210"/>
      <x:c r="L17" s="210"/>
      <x:c r="M17" s="210"/>
      <x:c r="N17" s="210"/>
      <x:c r="O17" s="210"/>
      <x:c r="P17" s="210"/>
    </x:row>
    <x:row r="18" ht="30" customHeight="1">
      <x:c r="A18" s="224" t="str">
        <x:v>Workstream</x:v>
      </x:c>
      <x:c r="B18" s="224" t="str">
        <x:v>Deliverables</x:v>
      </x:c>
      <x:c r="C18" s="224" t="str">
        <x:v>Verified</x:v>
      </x:c>
      <x:c r="D18" s="224" t="str">
        <x:v>In validation / progress</x:v>
      </x:c>
      <x:c r="E18" s="224" t="str">
        <x:v>Avg complete</x:v>
      </x:c>
      <x:c r="F18" s="224" t="str">
        <x:v>RAG</x:v>
      </x:c>
      <x:c r="G18" s="193"/>
      <x:c r="H18" s="224" t="str">
        <x:v>Decision / risk</x:v>
      </x:c>
      <x:c r="I18" s="224" t="str">
        <x:v>Owner</x:v>
      </x:c>
      <x:c r="J18" s="224" t="str">
        <x:v>Due</x:v>
      </x:c>
      <x:c r="K18" s="224" t="str">
        <x:v>Status</x:v>
      </x:c>
      <x:c r="L18" s="224" t="str">
        <x:v>Mitigation / decision</x:v>
      </x:c>
      <x:c r="M18" s="224" t="str"/>
      <x:c r="N18" s="224" t="str"/>
      <x:c r="O18" s="224" t="str"/>
      <x:c r="P18" s="224" t="str"/>
    </x:row>
    <x:row r="19">
      <x:c r="A19" s="158" t="str">
        <x:v>Verified Foundation</x:v>
      </x:c>
      <x:c r="B19" s="158" t="n">
        <x:f>COUNTIF('02_Delivery_Plan'!$B$6:$B$50,A19)</x:f>
        <x:v>5</x:v>
      </x:c>
      <x:c r="C19" s="158" t="n">
        <x:f>COUNTIFS('02_Delivery_Plan'!$B$6:$B$50,A19,'02_Delivery_Plan'!$E$6:$E$50,"Engineering Verified")</x:f>
        <x:v>5</x:v>
      </x:c>
      <x:c r="D19" s="158" t="n">
        <x:f>COUNTIFS('02_Delivery_Plan'!$B$6:$B$50,A19,'02_Delivery_Plan'!$E$6:$E$50,"Acceptance Pending")+COUNTIFS('02_Delivery_Plan'!$B$6:$B$50,A19,'02_Delivery_Plan'!$E$6:$E$50,"In Progress")</x:f>
        <x:v>0</x:v>
      </x:c>
      <x:c r="E19" s="159" t="n">
        <x:f>IFERROR(AVERAGEIF('02_Delivery_Plan'!$B$6:$B$50,A19,'02_Delivery_Plan'!$F$6:$F$50),0)</x:f>
        <x:v>1</x:v>
      </x:c>
      <x:c r="F19" s="158" t="str">
        <x:f>IF(COUNTIFS('02_Delivery_Plan'!$B$6:$B$50,A19,'02_Delivery_Plan'!$N$6:$N$50,"Red")&gt;0,"Red",IF(COUNTIFS('02_Delivery_Plan'!$B$6:$B$50,A19,'02_Delivery_Plan'!$N$6:$N$50,"Amber")&gt;0,"Amber","Green"))</x:f>
        <x:v>Green</x:v>
      </x:c>
      <x:c r="G19" s="193"/>
      <x:c r="H19" s="158" t="str">
        <x:f>'07_RAID_Decisions'!$E$6</x:f>
        <x:v>Management reporting can under- or over-state progress</x:v>
      </x:c>
      <x:c r="I19" s="158" t="str">
        <x:f>'07_RAID_Decisions'!$G$6</x:f>
        <x:v>Product</x:v>
      </x:c>
      <x:c r="J19" s="160" t="n">
        <x:f>'07_RAID_Decisions'!$H$6</x:f>
        <x:v>46255</x:v>
      </x:c>
      <x:c r="K19" s="158" t="str">
        <x:f>'07_RAID_Decisions'!$I$6</x:f>
        <x:v>Open</x:v>
      </x:c>
      <x:c r="L19" s="158" t="str">
        <x:f>'07_RAID_Decisions'!$J$6</x:f>
        <x:v>Reconcile each capability with current main, issue and acceptance evidence</x:v>
      </x:c>
      <x:c r="M19" s="158"/>
      <x:c r="N19" s="158"/>
      <x:c r="O19" s="158"/>
      <x:c r="P19" s="158"/>
    </x:row>
    <x:row r="20">
      <x:c r="A20" s="161" t="str">
        <x:v>Acceptance Hardening</x:v>
      </x:c>
      <x:c r="B20" s="161" t="n">
        <x:f>COUNTIF('02_Delivery_Plan'!$B$6:$B$50,A20)</x:f>
        <x:v>6</x:v>
      </x:c>
      <x:c r="C20" s="161" t="n">
        <x:f>COUNTIFS('02_Delivery_Plan'!$B$6:$B$50,A20,'02_Delivery_Plan'!$E$6:$E$50,"Engineering Verified")</x:f>
        <x:v>0</x:v>
      </x:c>
      <x:c r="D20" s="161" t="n">
        <x:f>COUNTIFS('02_Delivery_Plan'!$B$6:$B$50,A20,'02_Delivery_Plan'!$E$6:$E$50,"Acceptance Pending")+COUNTIFS('02_Delivery_Plan'!$B$6:$B$50,A20,'02_Delivery_Plan'!$E$6:$E$50,"In Progress")</x:f>
        <x:v>6</x:v>
      </x:c>
      <x:c r="E20" s="162" t="n">
        <x:f>IFERROR(AVERAGEIF('02_Delivery_Plan'!$B$6:$B$50,A20,'02_Delivery_Plan'!$F$6:$F$50),0)</x:f>
        <x:v>0.775</x:v>
      </x:c>
      <x:c r="F20" s="161" t="str">
        <x:f>IF(COUNTIFS('02_Delivery_Plan'!$B$6:$B$50,A20,'02_Delivery_Plan'!$N$6:$N$50,"Red")&gt;0,"Red",IF(COUNTIFS('02_Delivery_Plan'!$B$6:$B$50,A20,'02_Delivery_Plan'!$N$6:$N$50,"Amber")&gt;0,"Amber","Green"))</x:f>
        <x:v>Amber</x:v>
      </x:c>
      <x:c r="G20" s="193"/>
      <x:c r="H20" s="161" t="str">
        <x:f>'07_RAID_Decisions'!$E$7</x:f>
        <x:v>Product may appear complete but fail real review</x:v>
      </x:c>
      <x:c r="I20" s="161" t="str">
        <x:f>'07_RAID_Decisions'!$G$7</x:f>
        <x:v>Product + QA</x:v>
      </x:c>
      <x:c r="J20" s="163" t="n">
        <x:f>'07_RAID_Decisions'!$H$7</x:f>
        <x:v>46258</x:v>
      </x:c>
      <x:c r="K20" s="161" t="str">
        <x:f>'07_RAID_Decisions'!$I$7</x:f>
        <x:v>Open</x:v>
      </x:c>
      <x:c r="L20" s="161" t="str">
        <x:f>'07_RAID_Decisions'!$J$7</x:f>
        <x:v>Run named-account browser journeys and record evidence</x:v>
      </x:c>
      <x:c r="M20" s="161"/>
      <x:c r="N20" s="161"/>
      <x:c r="O20" s="161"/>
      <x:c r="P20" s="161"/>
    </x:row>
    <x:row r="21">
      <x:c r="A21" s="161" t="str">
        <x:v>Cross-project AI</x:v>
      </x:c>
      <x:c r="B21" s="161" t="n">
        <x:f>COUNTIF('02_Delivery_Plan'!$B$6:$B$50,A21)</x:f>
        <x:v>3</x:v>
      </x:c>
      <x:c r="C21" s="161" t="n">
        <x:f>COUNTIFS('02_Delivery_Plan'!$B$6:$B$50,A21,'02_Delivery_Plan'!$E$6:$E$50,"Engineering Verified")</x:f>
        <x:v>0</x:v>
      </x:c>
      <x:c r="D21" s="161" t="n">
        <x:f>COUNTIFS('02_Delivery_Plan'!$B$6:$B$50,A21,'02_Delivery_Plan'!$E$6:$E$50,"Acceptance Pending")+COUNTIFS('02_Delivery_Plan'!$B$6:$B$50,A21,'02_Delivery_Plan'!$E$6:$E$50,"In Progress")</x:f>
        <x:v>1</x:v>
      </x:c>
      <x:c r="E21" s="162" t="n">
        <x:f>IFERROR(AVERAGEIF('02_Delivery_Plan'!$B$6:$B$50,A21,'02_Delivery_Plan'!$F$6:$F$50),0)</x:f>
        <x:v>0.39999999999999997</x:v>
      </x:c>
      <x:c r="F21" s="161" t="str">
        <x:f>IF(COUNTIFS('02_Delivery_Plan'!$B$6:$B$50,A21,'02_Delivery_Plan'!$N$6:$N$50,"Red")&gt;0,"Red",IF(COUNTIFS('02_Delivery_Plan'!$B$6:$B$50,A21,'02_Delivery_Plan'!$N$6:$N$50,"Amber")&gt;0,"Amber","Green"))</x:f>
        <x:v>Amber</x:v>
      </x:c>
      <x:c r="G21" s="193"/>
      <x:c r="H21" s="161" t="str">
        <x:f>'07_RAID_Decisions'!$E$8</x:f>
        <x:v>Platform becomes project-specific and expensive to scale</x:v>
      </x:c>
      <x:c r="I21" s="161" t="str">
        <x:f>'07_RAID_Decisions'!$G$8</x:f>
        <x:v>Architecture</x:v>
      </x:c>
      <x:c r="J21" s="163" t="n">
        <x:f>'07_RAID_Decisions'!$H$8</x:f>
        <x:v>46262</x:v>
      </x:c>
      <x:c r="K21" s="161" t="str">
        <x:f>'07_RAID_Decisions'!$I$8</x:f>
        <x:v>Open</x:v>
      </x:c>
      <x:c r="L21" s="161" t="str">
        <x:f>'07_RAID_Decisions'!$J$8</x:f>
        <x:v>Share lifecycle and identity; keep project Packs and questions separate</x:v>
      </x:c>
      <x:c r="M21" s="161"/>
      <x:c r="N21" s="161"/>
      <x:c r="O21" s="161"/>
      <x:c r="P21" s="161"/>
    </x:row>
    <x:row r="22">
      <x:c r="A22" s="161" t="str">
        <x:v>Learning Loop</x:v>
      </x:c>
      <x:c r="B22" s="161" t="n">
        <x:f>COUNTIF('02_Delivery_Plan'!$B$6:$B$50,A22)</x:f>
        <x:v>3</x:v>
      </x:c>
      <x:c r="C22" s="161" t="n">
        <x:f>COUNTIFS('02_Delivery_Plan'!$B$6:$B$50,A22,'02_Delivery_Plan'!$E$6:$E$50,"Engineering Verified")</x:f>
        <x:v>0</x:v>
      </x:c>
      <x:c r="D22" s="161" t="n">
        <x:f>COUNTIFS('02_Delivery_Plan'!$B$6:$B$50,A22,'02_Delivery_Plan'!$E$6:$E$50,"Acceptance Pending")+COUNTIFS('02_Delivery_Plan'!$B$6:$B$50,A22,'02_Delivery_Plan'!$E$6:$E$50,"In Progress")</x:f>
        <x:v>0</x:v>
      </x:c>
      <x:c r="E22" s="162" t="n">
        <x:f>IFERROR(AVERAGEIF('02_Delivery_Plan'!$B$6:$B$50,A22,'02_Delivery_Plan'!$F$6:$F$50),0)</x:f>
        <x:v>0.10000000000000002</x:v>
      </x:c>
      <x:c r="F22" s="161" t="str">
        <x:f>IF(COUNTIFS('02_Delivery_Plan'!$B$6:$B$50,A22,'02_Delivery_Plan'!$N$6:$N$50,"Red")&gt;0,"Red",IF(COUNTIFS('02_Delivery_Plan'!$B$6:$B$50,A22,'02_Delivery_Plan'!$N$6:$N$50,"Amber")&gt;0,"Amber","Green"))</x:f>
        <x:v>Green</x:v>
      </x:c>
      <x:c r="G22" s="193"/>
      <x:c r="H22" s="161" t="str">
        <x:f>'07_RAID_Decisions'!$E$11</x:f>
        <x:v>Protects the shortest route to customer proof</x:v>
      </x:c>
      <x:c r="I22" s="161" t="str">
        <x:f>'07_RAID_Decisions'!$G$11</x:f>
        <x:v>Sponsor</x:v>
      </x:c>
      <x:c r="J22" s="163" t="n">
        <x:f>'07_RAID_Decisions'!$H$11</x:f>
        <x:v>46255</x:v>
      </x:c>
      <x:c r="K22" s="161" t="str">
        <x:f>'07_RAID_Decisions'!$I$11</x:f>
        <x:v>Open</x:v>
      </x:c>
      <x:c r="L22" s="161" t="str">
        <x:f>'07_RAID_Decisions'!$J$11</x:f>
        <x:v>Recommend Ngee + A/B + feedback loop first</x:v>
      </x:c>
      <x:c r="M22" s="161"/>
      <x:c r="N22" s="161"/>
      <x:c r="O22" s="161"/>
      <x:c r="P22" s="161"/>
    </x:row>
    <x:row r="23">
      <x:c r="A23" s="161" t="str">
        <x:v>Pilot Scale</x:v>
      </x:c>
      <x:c r="B23" s="161" t="n">
        <x:f>COUNTIF('02_Delivery_Plan'!$B$6:$B$50,A23)</x:f>
        <x:v>4</x:v>
      </x:c>
      <x:c r="C23" s="161" t="n">
        <x:f>COUNTIFS('02_Delivery_Plan'!$B$6:$B$50,A23,'02_Delivery_Plan'!$E$6:$E$50,"Engineering Verified")</x:f>
        <x:v>0</x:v>
      </x:c>
      <x:c r="D23" s="161" t="n">
        <x:f>COUNTIFS('02_Delivery_Plan'!$B$6:$B$50,A23,'02_Delivery_Plan'!$E$6:$E$50,"Acceptance Pending")+COUNTIFS('02_Delivery_Plan'!$B$6:$B$50,A23,'02_Delivery_Plan'!$E$6:$E$50,"In Progress")</x:f>
        <x:v>0</x:v>
      </x:c>
      <x:c r="E23" s="162" t="n">
        <x:f>IFERROR(AVERAGEIF('02_Delivery_Plan'!$B$6:$B$50,A23,'02_Delivery_Plan'!$F$6:$F$50),0)</x:f>
        <x:v>0.11250000000000002</x:v>
      </x:c>
      <x:c r="F23" s="161" t="str">
        <x:f>IF(COUNTIFS('02_Delivery_Plan'!$B$6:$B$50,A23,'02_Delivery_Plan'!$N$6:$N$50,"Red")&gt;0,"Red",IF(COUNTIFS('02_Delivery_Plan'!$B$6:$B$50,A23,'02_Delivery_Plan'!$N$6:$N$50,"Amber")&gt;0,"Amber","Green"))</x:f>
        <x:v>Green</x:v>
      </x:c>
      <x:c r="G23" s="193"/>
      <x:c r="H23" s="161" t="str">
        <x:f>'07_RAID_Decisions'!$E$13</x:f>
        <x:v>Without owners dates remain indicative</x:v>
      </x:c>
      <x:c r="I23" s="161" t="str">
        <x:f>'07_RAID_Decisions'!$G$13</x:f>
        <x:v>Sponsor</x:v>
      </x:c>
      <x:c r="J23" s="163" t="n">
        <x:f>'07_RAID_Decisions'!$H$13</x:f>
        <x:v>46255</x:v>
      </x:c>
      <x:c r="K23" s="161" t="str">
        <x:f>'07_RAID_Decisions'!$I$13</x:f>
        <x:v>Open</x:v>
      </x:c>
      <x:c r="L23" s="161" t="str">
        <x:f>'07_RAID_Decisions'!$J$13</x:f>
        <x:v>Publish RACI for R1-R2</x:v>
      </x:c>
      <x:c r="M23" s="161"/>
      <x:c r="N23" s="161"/>
      <x:c r="O23" s="161"/>
      <x:c r="P23" s="161"/>
    </x:row>
    <x:row r="24">
      <x:c r="A24" s="193"/>
      <x:c r="B24" s="193"/>
      <x:c r="C24" s="193"/>
      <x:c r="D24" s="193"/>
      <x:c r="E24" s="193"/>
      <x:c r="F24" s="193"/>
      <x:c r="G24" s="193"/>
      <x:c r="H24" s="193"/>
      <x:c r="I24" s="193"/>
      <x:c r="J24" s="193"/>
      <x:c r="K24" s="193"/>
      <x:c r="L24" s="193"/>
      <x:c r="M24" s="193"/>
      <x:c r="N24" s="193"/>
      <x:c r="O24" s="193"/>
      <x:c r="P24" s="193"/>
    </x:row>
    <x:row r="25">
      <x:c r="A25" s="193"/>
      <x:c r="B25" s="193"/>
      <x:c r="C25" s="193"/>
      <x:c r="D25" s="193"/>
      <x:c r="E25" s="193"/>
      <x:c r="F25" s="193"/>
      <x:c r="G25" s="193"/>
      <x:c r="H25" s="193"/>
      <x:c r="I25" s="193"/>
      <x:c r="J25" s="193"/>
      <x:c r="K25" s="193"/>
      <x:c r="L25" s="193"/>
      <x:c r="M25" s="193"/>
      <x:c r="N25" s="193"/>
      <x:c r="O25" s="193"/>
      <x:c r="P25" s="193"/>
    </x:row>
    <x:row r="26">
      <x:c r="A26" s="193"/>
      <x:c r="B26" s="193"/>
      <x:c r="C26" s="193"/>
      <x:c r="D26" s="193"/>
      <x:c r="E26" s="193"/>
      <x:c r="F26" s="193"/>
      <x:c r="G26" s="193"/>
      <x:c r="H26" s="193"/>
      <x:c r="I26" s="193"/>
      <x:c r="J26" s="193"/>
      <x:c r="K26" s="193"/>
      <x:c r="L26" s="193"/>
      <x:c r="M26" s="193"/>
      <x:c r="N26" s="193"/>
      <x:c r="O26" s="193"/>
      <x:c r="P26" s="193"/>
    </x:row>
    <x:row r="27">
      <x:c r="A27" s="193"/>
      <x:c r="B27" s="193"/>
      <x:c r="C27" s="193"/>
      <x:c r="D27" s="193"/>
      <x:c r="E27" s="193"/>
      <x:c r="F27" s="193"/>
      <x:c r="G27" s="193"/>
      <x:c r="H27" s="193"/>
      <x:c r="I27" s="193"/>
      <x:c r="J27" s="193"/>
      <x:c r="K27" s="193"/>
      <x:c r="L27" s="193"/>
      <x:c r="M27" s="193"/>
      <x:c r="N27" s="193"/>
      <x:c r="O27" s="193"/>
      <x:c r="P27" s="193"/>
    </x:row>
    <x:row r="28">
      <x:c r="A28" s="193"/>
      <x:c r="B28" s="193"/>
      <x:c r="C28" s="193"/>
      <x:c r="D28" s="193"/>
      <x:c r="E28" s="193"/>
      <x:c r="F28" s="193"/>
      <x:c r="G28" s="193"/>
      <x:c r="H28" s="193"/>
      <x:c r="I28" s="193"/>
      <x:c r="J28" s="193"/>
      <x:c r="K28" s="193"/>
      <x:c r="L28" s="193"/>
      <x:c r="M28" s="193"/>
      <x:c r="N28" s="193"/>
      <x:c r="O28" s="193"/>
      <x:c r="P28" s="193"/>
    </x:row>
    <x:row r="29">
      <x:c r="A29" s="193"/>
      <x:c r="B29" s="193"/>
      <x:c r="C29" s="193"/>
      <x:c r="D29" s="193"/>
      <x:c r="E29" s="193"/>
      <x:c r="F29" s="193"/>
      <x:c r="G29" s="193"/>
      <x:c r="H29" s="193"/>
      <x:c r="I29" s="193"/>
      <x:c r="J29" s="193"/>
      <x:c r="K29" s="193"/>
      <x:c r="L29" s="193"/>
      <x:c r="M29" s="193"/>
      <x:c r="N29" s="193"/>
      <x:c r="O29" s="193"/>
      <x:c r="P29" s="193"/>
    </x:row>
    <x:row r="30">
      <x:c r="A30" s="193"/>
      <x:c r="B30" s="193"/>
      <x:c r="C30" s="193"/>
      <x:c r="D30" s="193"/>
      <x:c r="E30" s="193"/>
      <x:c r="F30" s="193"/>
      <x:c r="G30" s="193"/>
      <x:c r="H30" s="193"/>
      <x:c r="I30" s="193"/>
      <x:c r="J30" s="193"/>
      <x:c r="K30" s="193"/>
      <x:c r="L30" s="193"/>
      <x:c r="M30" s="193"/>
      <x:c r="N30" s="193"/>
      <x:c r="O30" s="193"/>
      <x:c r="P30" s="193"/>
    </x:row>
  </x:sheetData>
  <x:mergeCells>
    <x:mergeCell ref="A1:P1"/>
    <x:mergeCell ref="A2:P2"/>
    <x:mergeCell ref="A4:B4"/>
    <x:mergeCell ref="C4:D4"/>
    <x:mergeCell ref="E4:F4"/>
    <x:mergeCell ref="G4:H4"/>
    <x:mergeCell ref="I4:J4"/>
    <x:mergeCell ref="K4:L4"/>
    <x:mergeCell ref="M4:N4"/>
    <x:mergeCell ref="O4:P4"/>
    <x:mergeCell ref="A5:B7"/>
    <x:mergeCell ref="C5:D7"/>
    <x:mergeCell ref="E5:F7"/>
    <x:mergeCell ref="G5:H7"/>
    <x:mergeCell ref="I5:J7"/>
    <x:mergeCell ref="K5:L7"/>
    <x:mergeCell ref="M5:N7"/>
    <x:mergeCell ref="O5:P7"/>
    <x:mergeCell ref="A10:H10"/>
    <x:mergeCell ref="A11:H14"/>
    <x:mergeCell ref="J10:P10"/>
    <x:mergeCell ref="A17:P17"/>
  </x:mergeCells>
  <x:conditionalFormatting sqref="M5:N7">
    <x:cfRule type="containsText" dxfId="0" priority="1" operator="containsText" text="AMBER"/>
  </x:conditionalFormatting>
  <x:conditionalFormatting sqref="F19:F23">
    <x:cfRule type="containsText" dxfId="1" priority="2" operator="containsText" text="Engineering Verified"/>
    <x:cfRule type="containsText" dxfId="2" priority="3" operator="containsText" text="Acceptance Pending"/>
    <x:cfRule type="containsText" dxfId="3" priority="4" operator="containsText" text="In Progress"/>
    <x:cfRule type="containsText" dxfId="4" priority="5" operator="containsText" text="Planned"/>
    <x:cfRule type="containsText" dxfId="5" priority="6" operator="containsText" text="Discovery"/>
    <x:cfRule type="containsText" dxfId="6" priority="7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34" hidden="0" customWidth="1"/>
    <x:col min="4" max="4" width="20" hidden="0" customWidth="1"/>
    <x:col min="5" max="5" width="38" hidden="0" customWidth="1"/>
    <x:col min="6" max="6" width="20" hidden="0" customWidth="1"/>
    <x:col min="7" max="7" width="12" hidden="0" customWidth="1"/>
    <x:col min="8" max="8" width="42" hidden="0" customWidth="1"/>
    <x:col min="9" max="9" width="46" hidden="0" customWidth="1"/>
  </x:cols>
  <x:sheetData>
    <x:row r="1" ht="34" customHeight="1">
      <x:c r="A1" s="191" t="str">
        <x:v>EnergyIQ Capability Register</x:v>
      </x:c>
      <x:c r="B1" s="191" t="str">
        <x:v>EnergyIQ Capability Register</x:v>
      </x:c>
      <x:c r="C1" s="191" t="str">
        <x:v>EnergyIQ Capability Register</x:v>
      </x:c>
      <x:c r="D1" s="191" t="str">
        <x:v>EnergyIQ Capability Register</x:v>
      </x:c>
      <x:c r="E1" s="191" t="str">
        <x:v>EnergyIQ Capability Register</x:v>
      </x:c>
      <x:c r="F1" s="191" t="str">
        <x:v>EnergyIQ Capability Register</x:v>
      </x:c>
      <x:c r="G1" s="191" t="str">
        <x:v>EnergyIQ Capability Register</x:v>
      </x:c>
      <x:c r="H1" s="191" t="str">
        <x:v>EnergyIQ Capability Register</x:v>
      </x:c>
      <x:c r="I1" s="191" t="str">
        <x:v>EnergyIQ Capability Register</x:v>
      </x:c>
    </x:row>
    <x:row r="2" ht="28" customHeight="1">
      <x:c r="A2" s="192" t="str">
        <x:v>One row per product capability · status is evidence-based, not feature-count based</x:v>
      </x:c>
      <x:c r="B2" s="192" t="str">
        <x:v>One row per product capability · status is evidence-based, not feature-count based</x:v>
      </x:c>
      <x:c r="C2" s="192" t="str">
        <x:v>One row per product capability · status is evidence-based, not feature-count based</x:v>
      </x:c>
      <x:c r="D2" s="192" t="str">
        <x:v>One row per product capability · status is evidence-based, not feature-count based</x:v>
      </x:c>
      <x:c r="E2" s="192" t="str">
        <x:v>One row per product capability · status is evidence-based, not feature-count based</x:v>
      </x:c>
      <x:c r="F2" s="192" t="str">
        <x:v>One row per product capability · status is evidence-based, not feature-count based</x:v>
      </x:c>
      <x:c r="G2" s="192" t="str">
        <x:v>One row per product capability · status is evidence-based, not feature-count based</x:v>
      </x:c>
      <x:c r="H2" s="192" t="str">
        <x:v>One row per product capability · status is evidence-based, not feature-count based</x:v>
      </x:c>
      <x:c r="I2" s="192" t="str">
        <x:v>One row per product capability · status is evidence-based, not feature-count based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</x:row>
    <x:row r="4">
      <x:c r="A4" s="193"/>
      <x:c r="B4" s="193"/>
      <x:c r="C4" s="193"/>
      <x:c r="D4" s="193"/>
      <x:c r="E4" s="193"/>
      <x:c r="F4" s="193"/>
      <x:c r="G4" s="193"/>
      <x:c r="H4" s="193"/>
      <x:c r="I4" s="193"/>
    </x:row>
    <x:row r="5" ht="30" customHeight="1">
      <x:c r="A5" s="224" t="str">
        <x:v>ID</x:v>
      </x:c>
      <x:c r="B5" s="224" t="str">
        <x:v>Layer / Workstream</x:v>
      </x:c>
      <x:c r="C5" s="224" t="str">
        <x:v>Capability</x:v>
      </x:c>
      <x:c r="D5" s="224" t="str">
        <x:v>Project / Surface</x:v>
      </x:c>
      <x:c r="E5" s="224" t="str">
        <x:v>Customer outcome</x:v>
      </x:c>
      <x:c r="F5" s="224" t="str">
        <x:v>Status</x:v>
      </x:c>
      <x:c r="G5" s="224" t="str">
        <x:v>% Complete</x:v>
      </x:c>
      <x:c r="H5" s="224" t="str">
        <x:v>Evidence basis</x:v>
      </x:c>
      <x:c r="I5" s="224" t="str">
        <x:v>Evidence URL / Reference</x:v>
      </x:c>
    </x:row>
    <x:row r="6">
      <x:c r="A6" s="158" t="str">
        <x:v>CAP-01</x:v>
      </x:c>
      <x:c r="B6" s="158" t="str">
        <x:v>Data Foundation</x:v>
      </x:c>
      <x:c r="C6" s="158" t="str">
        <x:v>Project-scoped Snapshot and Evidence boundary</x:v>
      </x:c>
      <x:c r="D6" s="158" t="str">
        <x:v>All projects</x:v>
      </x:c>
      <x:c r="E6" s="158" t="str">
        <x:v>Trusted facts can be rerun and audited</x:v>
      </x:c>
      <x:c r="F6" s="158" t="str">
        <x:v>Engineering Verified</x:v>
      </x:c>
      <x:c r="G6" s="159" t="n">
        <x:v>1</x:v>
      </x:c>
      <x:c r="H6" s="158" t="str">
        <x:v>Published Snapshot, exact Scope/Period and Evidence Catalog</x:v>
      </x:c>
      <x:c r="I6" s="158" t="str">
        <x:v>https://github.com/Zion74/energyiq-datafoundry/issues/25</x:v>
      </x:c>
    </x:row>
    <x:row r="7">
      <x:c r="A7" s="161" t="str">
        <x:v>CAP-02</x:v>
      </x:c>
      <x:c r="B7" s="161" t="str">
        <x:v>Deterministic Overview</x:v>
      </x:c>
      <x:c r="C7" s="161" t="str">
        <x:v>Ngee Ann project-specific Overview foundation</x:v>
      </x:c>
      <x:c r="D7" s="161" t="str">
        <x:v>Ngee Ann</x:v>
      </x:c>
      <x:c r="E7" s="161" t="str">
        <x:v>FM can see levels, circuits, time behaviour and priorities</x:v>
      </x:c>
      <x:c r="F7" s="161" t="str">
        <x:v>Engineering Verified</x:v>
      </x:c>
      <x:c r="G7" s="162" t="n">
        <x:v>1</x:v>
      </x:c>
      <x:c r="H7" s="161" t="str">
        <x:v>Golden slice and deterministic projections</x:v>
      </x:c>
      <x:c r="I7" s="161" t="str">
        <x:v>https://github.com/Zion74/energyiq-datafoundry/issues/6</x:v>
      </x:c>
    </x:row>
    <x:row r="8">
      <x:c r="A8" s="161" t="str">
        <x:v>CAP-03</x:v>
      </x:c>
      <x:c r="B8" s="161" t="str">
        <x:v>Deterministic Overview</x:v>
      </x:c>
      <x:c r="C8" s="161" t="str">
        <x:v>Preschool portfolio decision Overview</x:v>
      </x:c>
      <x:c r="D8" s="161" t="str">
        <x:v>Preschool</x:v>
      </x:c>
      <x:c r="E8" s="161" t="str">
        <x:v>Management can compare centres and operating behaviour</x:v>
      </x:c>
      <x:c r="F8" s="161" t="str">
        <x:v>Engineering Verified</x:v>
      </x:c>
      <x:c r="G8" s="162" t="n">
        <x:v>1</x:v>
      </x:c>
      <x:c r="H8" s="161" t="str">
        <x:v>Benchmark, distribution and operating analysis</x:v>
      </x:c>
      <x:c r="I8" s="161" t="str">
        <x:v>https://github.com/Zion74/energyiq-datafoundry/issues/10</x:v>
      </x:c>
    </x:row>
    <x:row r="9">
      <x:c r="A9" s="161" t="str">
        <x:v>CAP-04</x:v>
      </x:c>
      <x:c r="B9" s="161" t="str">
        <x:v>AI Analyst</x:v>
      </x:c>
      <x:c r="C9" s="161" t="str">
        <x:v>Trusted natural-language analysis with scoped Evidence</x:v>
      </x:c>
      <x:c r="D9" s="161" t="str">
        <x:v>All projects</x:v>
      </x:c>
      <x:c r="E9" s="161" t="str">
        <x:v>Users can investigate questions beyond the template</x:v>
      </x:c>
      <x:c r="F9" s="161" t="str">
        <x:v>Engineering Verified</x:v>
      </x:c>
      <x:c r="G9" s="162" t="n">
        <x:v>1</x:v>
      </x:c>
      <x:c r="H9" s="161" t="str">
        <x:v>Scoped query, Evidence and Saved Analysis</x:v>
      </x:c>
      <x:c r="I9" s="161" t="str">
        <x:v>https://github.com/Zion74/energyiq-datafoundry/issues/14</x:v>
      </x:c>
    </x:row>
    <x:row r="10">
      <x:c r="A10" s="161" t="str">
        <x:v>CAP-05</x:v>
      </x:c>
      <x:c r="B10" s="161" t="str">
        <x:v>AI Layer 1</x:v>
      </x:c>
      <x:c r="C10" s="161" t="str">
        <x:v>Cross-section Key Findings</x:v>
      </x:c>
      <x:c r="D10" s="161" t="str">
        <x:v>Preschool</x:v>
      </x:c>
      <x:c r="E10" s="161" t="str">
        <x:v>Boss can understand the priority conclusions quickly</x:v>
      </x:c>
      <x:c r="F10" s="161" t="str">
        <x:v>Acceptance Pending</x:v>
      </x:c>
      <x:c r="G10" s="162" t="n">
        <x:v>0.9</x:v>
      </x:c>
      <x:c r="H10" s="161" t="str">
        <x:v>Server-persisted Executive Artifact; content review remains</x:v>
      </x:c>
      <x:c r="I10" s="161" t="str">
        <x:v>https://github.com/Zion74/energyiq-datafoundry/issues/47</x:v>
      </x:c>
    </x:row>
    <x:row r="11">
      <x:c r="A11" s="161" t="str">
        <x:v>CAP-06</x:v>
      </x:c>
      <x:c r="B11" s="161" t="str">
        <x:v>AI Layer 2</x:v>
      </x:c>
      <x:c r="C11" s="161" t="str">
        <x:v>Section Interpretation and Insight Cards</x:v>
      </x:c>
      <x:c r="D11" s="161" t="str">
        <x:v>Preschool</x:v>
      </x:c>
      <x:c r="E11" s="161" t="str">
        <x:v>Each section explains what matters and opens deeper questions</x:v>
      </x:c>
      <x:c r="F11" s="161" t="str">
        <x:v>Acceptance Pending</x:v>
      </x:c>
      <x:c r="G11" s="162" t="n">
        <x:v>0.9</x:v>
      </x:c>
      <x:c r="H11" s="161" t="str">
        <x:v>Independent section Artifacts and saved restore</x:v>
      </x:c>
      <x:c r="I11" s="161" t="str">
        <x:v>https://github.com/Zion74/energyiq-datafoundry/issues/47</x:v>
      </x:c>
    </x:row>
    <x:row r="12">
      <x:c r="A12" s="161" t="str">
        <x:v>CAP-07</x:v>
      </x:c>
      <x:c r="B12" s="161" t="str">
        <x:v>AI Layer 3</x:v>
      </x:c>
      <x:c r="C12" s="161" t="str">
        <x:v>Additional AI Insights and governed publication</x:v>
      </x:c>
      <x:c r="D12" s="161" t="str">
        <x:v>Preschool</x:v>
      </x:c>
      <x:c r="E12" s="161" t="str">
        <x:v>New angles can be reviewed and published without replacing facts</x:v>
      </x:c>
      <x:c r="F12" s="161" t="str">
        <x:v>Acceptance Pending</x:v>
      </x:c>
      <x:c r="G12" s="162" t="n">
        <x:v>0.9</x:v>
      </x:c>
      <x:c r="H12" s="161" t="str">
        <x:v>Provider pass@3 and approved-candidate publication</x:v>
      </x:c>
      <x:c r="I12" s="161" t="str">
        <x:v>https://github.com/Zion74/energyiq-datafoundry/issues/58</x:v>
      </x:c>
    </x:row>
    <x:row r="13">
      <x:c r="A13" s="161" t="str">
        <x:v>CAP-08</x:v>
      </x:c>
      <x:c r="B13" s="161" t="str">
        <x:v>Continuous Analysis</x:v>
      </x:c>
      <x:c r="C13" s="161" t="str">
        <x:v>Preschool Snapshot A to B rerun</x:v>
      </x:c>
      <x:c r="D13" s="161" t="str">
        <x:v>Preschool</x:v>
      </x:c>
      <x:c r="E13" s="161" t="str">
        <x:v>Users can see retained, updated, new and removed conclusions</x:v>
      </x:c>
      <x:c r="F13" s="161" t="str">
        <x:v>Engineering Verified</x:v>
      </x:c>
      <x:c r="G13" s="162" t="n">
        <x:v>1</x:v>
      </x:c>
      <x:c r="H13" s="161" t="str">
        <x:v>Real A/B technical acceptance completed</x:v>
      </x:c>
      <x:c r="I13" s="161" t="str">
        <x:v>https://github.com/Zion74/energyiq-datafoundry/issues/60</x:v>
      </x:c>
    </x:row>
    <x:row r="14">
      <x:c r="A14" s="161" t="str">
        <x:v>CAP-09</x:v>
      </x:c>
      <x:c r="B14" s="161" t="str">
        <x:v>Admin</x:v>
      </x:c>
      <x:c r="C14" s="161" t="str">
        <x:v>Project Overview and AI readiness</x:v>
      </x:c>
      <x:c r="D14" s="161" t="str">
        <x:v>All projects</x:v>
      </x:c>
      <x:c r="E14" s="161" t="str">
        <x:v>Admins can see what is missing and generate deliberately</x:v>
      </x:c>
      <x:c r="F14" s="161" t="str">
        <x:v>Engineering Verified</x:v>
      </x:c>
      <x:c r="G14" s="162" t="n">
        <x:v>1</x:v>
      </x:c>
      <x:c r="H14" s="161" t="str">
        <x:v>Readiness and Generate Missing analysis flows</x:v>
      </x:c>
      <x:c r="I14" s="161" t="str">
        <x:v>https://github.com/Zion74/energyiq-datafoundry/issues/49</x:v>
      </x:c>
    </x:row>
    <x:row r="15">
      <x:c r="A15" s="161" t="str">
        <x:v>CAP-10</x:v>
      </x:c>
      <x:c r="B15" s="161" t="str">
        <x:v>Access</x:v>
      </x:c>
      <x:c r="C15" s="161" t="str">
        <x:v>Multi-account and project-boundary acceptance</x:v>
      </x:c>
      <x:c r="D15" s="161" t="str">
        <x:v>Preschool + Ngee Ann</x:v>
      </x:c>
      <x:c r="E15" s="161" t="str">
        <x:v>Charles sees all projects; customer accounts see only theirs</x:v>
      </x:c>
      <x:c r="F15" s="161" t="str">
        <x:v>Acceptance Pending</x:v>
      </x:c>
      <x:c r="G15" s="162" t="n">
        <x:v>0.7</x:v>
      </x:c>
      <x:c r="H15" s="161" t="str">
        <x:v>Human/browser acceptance remains</x:v>
      </x:c>
      <x:c r="I15" s="161" t="str">
        <x:v>https://github.com/Zion74/energyiq-datafoundry/issues/53</x:v>
      </x:c>
    </x:row>
    <x:row r="16">
      <x:c r="A16" s="161" t="str">
        <x:v>CAP-11</x:v>
      </x:c>
      <x:c r="B16" s="161" t="str">
        <x:v>AI Platform</x:v>
      </x:c>
      <x:c r="C16" s="161" t="str">
        <x:v>Ngee Ann server-persisted Layer 1-3 Adapter</x:v>
      </x:c>
      <x:c r="D16" s="161" t="str">
        <x:v>Ngee Ann</x:v>
      </x:c>
      <x:c r="E16" s="161" t="str">
        <x:v>Ngee uses the common AI lifecycle without copying Preschool</x:v>
      </x:c>
      <x:c r="F16" s="161" t="str">
        <x:v>In Progress</x:v>
      </x:c>
      <x:c r="G16" s="162" t="n">
        <x:v>0.85</x:v>
      </x:c>
      <x:c r="H16" s="161" t="str">
        <x:v>Implementation on main; issue remains open</x:v>
      </x:c>
      <x:c r="I16" s="161" t="str">
        <x:v>https://github.com/Zion74/energyiq-datafoundry/issues/55</x:v>
      </x:c>
    </x:row>
    <x:row r="17">
      <x:c r="A17" s="161" t="str">
        <x:v>CAP-12</x:v>
      </x:c>
      <x:c r="B17" s="161" t="str">
        <x:v>Continuous Analysis</x:v>
      </x:c>
      <x:c r="C17" s="161" t="str">
        <x:v>Ngee Ann Snapshot A to B value acceptance</x:v>
      </x:c>
      <x:c r="D17" s="161" t="str">
        <x:v>Ngee Ann</x:v>
      </x:c>
      <x:c r="E17" s="161" t="str">
        <x:v>New data updates Overview and AI conclusions safely</x:v>
      </x:c>
      <x:c r="F17" s="161" t="str">
        <x:v>Planned</x:v>
      </x:c>
      <x:c r="G17" s="162" t="n">
        <x:v>0.15</x:v>
      </x:c>
      <x:c r="H17" s="161" t="str">
        <x:v>Depends on CAP-11 acceptance</x:v>
      </x:c>
      <x:c r="I17" s="161" t="str">
        <x:v>https://github.com/Zion74/energyiq-datafoundry/issues/56</x:v>
      </x:c>
    </x:row>
    <x:row r="18">
      <x:c r="A18" s="161" t="str">
        <x:v>CAP-13</x:v>
      </x:c>
      <x:c r="B18" s="161" t="str">
        <x:v>Learning Loop</x:v>
      </x:c>
      <x:c r="C18" s="161" t="str">
        <x:v>Insight usefulness feedback to Method/SOP</x:v>
      </x:c>
      <x:c r="D18" s="161" t="str">
        <x:v>All projects</x:v>
      </x:c>
      <x:c r="E18" s="161" t="str">
        <x:v>Useful analysis angles become reusable organisational know-how</x:v>
      </x:c>
      <x:c r="F18" s="161" t="str">
        <x:v>Planned</x:v>
      </x:c>
      <x:c r="G18" s="162" t="n">
        <x:v>0.1</x:v>
      </x:c>
      <x:c r="H18" s="161" t="str">
        <x:v>Feedback and governance ticket ready</x:v>
      </x:c>
      <x:c r="I18" s="161" t="str">
        <x:v>https://github.com/Zion74/energyiq-datafoundry/issues/57</x:v>
      </x:c>
    </x:row>
    <x:row r="19">
      <x:c r="A19" s="161" t="str">
        <x:v>CAP-14</x:v>
      </x:c>
      <x:c r="B19" s="161" t="str">
        <x:v>AI Operations</x:v>
      </x:c>
      <x:c r="C19" s="161" t="str">
        <x:v>Exact Finding, Skill, Method and Tool trace</x:v>
      </x:c>
      <x:c r="D19" s="161" t="str">
        <x:v>Admin</x:v>
      </x:c>
      <x:c r="E19" s="161" t="str">
        <x:v>Admins can understand how a conclusion was produced</x:v>
      </x:c>
      <x:c r="F19" s="161" t="str">
        <x:v>Acceptance Pending</x:v>
      </x:c>
      <x:c r="G19" s="162" t="n">
        <x:v>0.7</x:v>
      </x:c>
      <x:c r="H19" s="161" t="str">
        <x:v>Ready for human review</x:v>
      </x:c>
      <x:c r="I19" s="161" t="str">
        <x:v>https://github.com/Zion74/energyiq-datafoundry/issues/61</x:v>
      </x:c>
    </x:row>
    <x:row r="20">
      <x:c r="A20" s="161" t="str">
        <x:v>CAP-15</x:v>
      </x:c>
      <x:c r="B20" s="161" t="str">
        <x:v>Harness Configuration</x:v>
      </x:c>
      <x:c r="C20" s="161" t="str">
        <x:v>Project Harness configuration read model and Admin UI</x:v>
      </x:c>
      <x:c r="D20" s="161" t="str">
        <x:v>Admin</x:v>
      </x:c>
      <x:c r="E20" s="161" t="str">
        <x:v>Admins can inspect available and actually-used capabilities</x:v>
      </x:c>
      <x:c r="F20" s="161" t="str">
        <x:v>Acceptance Pending</x:v>
      </x:c>
      <x:c r="G20" s="162" t="n">
        <x:v>0.65</x:v>
      </x:c>
      <x:c r="H20" s="161" t="str">
        <x:v>Human acceptance across HCFG-1/2 and AIOPS-1</x:v>
      </x:c>
      <x:c r="I20" s="161" t="str">
        <x:v>https://github.com/Zion74/energyiq-datafoundry/issues/62</x:v>
      </x:c>
    </x:row>
    <x:row r="21">
      <x:c r="A21" s="161" t="str">
        <x:v>CAP-16</x:v>
      </x:c>
      <x:c r="B21" s="161" t="str">
        <x:v>Harness Governance</x:v>
      </x:c>
      <x:c r="C21" s="161" t="str">
        <x:v>Governed Project Harness Policy revisions</x:v>
      </x:c>
      <x:c r="D21" s="161" t="str">
        <x:v>Admin</x:v>
      </x:c>
      <x:c r="E21" s="161" t="str">
        <x:v>Changes to model, tools and skills become reviewable revisions</x:v>
      </x:c>
      <x:c r="F21" s="161" t="str">
        <x:v>Planned</x:v>
      </x:c>
      <x:c r="G21" s="162" t="n">
        <x:v>0.1</x:v>
      </x:c>
      <x:c r="H21" s="161" t="str">
        <x:v>Policy revision ticket open</x:v>
      </x:c>
      <x:c r="I21" s="161" t="str">
        <x:v>https://github.com/Zion74/energyiq-datafoundry/issues/66</x:v>
      </x:c>
    </x:row>
    <x:row r="22">
      <x:c r="A22" s="161" t="str">
        <x:v>CAP-17</x:v>
      </x:c>
      <x:c r="B22" s="161" t="str">
        <x:v>Template Evolution</x:v>
      </x:c>
      <x:c r="C22" s="161" t="str">
        <x:v>AI Template Change Proposal, Diff and Preview</x:v>
      </x:c>
      <x:c r="D22" s="161" t="str">
        <x:v>Admin</x:v>
      </x:c>
      <x:c r="E22" s="161" t="str">
        <x:v>AI can propose software changes without auto-publishing</x:v>
      </x:c>
      <x:c r="F22" s="161" t="str">
        <x:v>Planned</x:v>
      </x:c>
      <x:c r="G22" s="162" t="n">
        <x:v>0.2</x:v>
      </x:c>
      <x:c r="H22" s="161" t="str">
        <x:v>Approval-gated proposal flow</x:v>
      </x:c>
      <x:c r="I22" s="161" t="str">
        <x:v>https://github.com/Zion74/energyiq-datafoundry/issues/46</x:v>
      </x:c>
    </x:row>
    <x:row r="23">
      <x:c r="A23" s="161" t="str">
        <x:v>CAP-18</x:v>
      </x:c>
      <x:c r="B23" s="161" t="str">
        <x:v>Visual Analysis</x:v>
      </x:c>
      <x:c r="C23" s="161" t="str">
        <x:v>Controlled AI charts and visual canvas</x:v>
      </x:c>
      <x:c r="D23" s="161" t="str">
        <x:v>All projects</x:v>
      </x:c>
      <x:c r="E23" s="161" t="str">
        <x:v>Complex insights can use charts when they materially help</x:v>
      </x:c>
      <x:c r="F23" s="161" t="str">
        <x:v>Planned</x:v>
      </x:c>
      <x:c r="G23" s="162" t="n">
        <x:v>0.1</x:v>
      </x:c>
      <x:c r="H23" s="161" t="str">
        <x:v>Controlled chart and Finding canvas backlog</x:v>
      </x:c>
      <x:c r="I23" s="161" t="str">
        <x:v>https://github.com/Zion74/energyiq-datafoundry/issues/35</x:v>
      </x:c>
    </x:row>
    <x:row r="24">
      <x:c r="A24" s="161" t="str">
        <x:v>CAP-19</x:v>
      </x:c>
      <x:c r="B24" s="161" t="str">
        <x:v>Pilot Operations</x:v>
      </x:c>
      <x:c r="C24" s="161" t="str">
        <x:v>Customer acceptance, runbook and release readiness</x:v>
      </x:c>
      <x:c r="D24" s="161" t="str">
        <x:v>Preschool + Ngee Ann</x:v>
      </x:c>
      <x:c r="E24" s="161" t="str">
        <x:v>The platform can be handed to real pilot users safely</x:v>
      </x:c>
      <x:c r="F24" s="161" t="str">
        <x:v>Acceptance Pending</x:v>
      </x:c>
      <x:c r="G24" s="162" t="n">
        <x:v>0.55</x:v>
      </x:c>
      <x:c r="H24" s="161" t="str">
        <x:v>Pilot release and customer acceptance remain open</x:v>
      </x:c>
      <x:c r="I24" s="161" t="str">
        <x:v>https://github.com/Zion74/energyiq-datafoundry/issues/21</x:v>
      </x:c>
    </x:row>
    <x:row r="25">
      <x:c r="A25" s="161" t="str">
        <x:v>CAP-20</x:v>
      </x:c>
      <x:c r="B25" s="161" t="str">
        <x:v>Coding Agent</x:v>
      </x:c>
      <x:c r="C25" s="161" t="str">
        <x:v>User request to repeatable software capability</x:v>
      </x:c>
      <x:c r="D25" s="161" t="str">
        <x:v>Future</x:v>
      </x:c>
      <x:c r="E25" s="161" t="str">
        <x:v>Customer-specific analysis can become governed product code</x:v>
      </x:c>
      <x:c r="F25" s="161" t="str">
        <x:v>Discovery</x:v>
      </x:c>
      <x:c r="G25" s="162" t="n">
        <x:v>0.05</x:v>
      </x:c>
      <x:c r="H25" s="161" t="str">
        <x:v>Architecture and isolation discovery; not a current commitment</x:v>
      </x:c>
      <x:c r="I25" s="161" t="str">
        <x:v>Product roadmap hypothesis</x:v>
      </x:c>
    </x:row>
  </x:sheetData>
  <x:mergeCells>
    <x:mergeCell ref="A1:I1"/>
    <x:mergeCell ref="A2:I2"/>
  </x:mergeCells>
  <x:conditionalFormatting sqref="F6:F25">
    <x:cfRule type="containsText" dxfId="7" priority="1" operator="containsText" text="Engineering Verified"/>
    <x:cfRule type="containsText" dxfId="8" priority="2" operator="containsText" text="Acceptance Pending"/>
    <x:cfRule type="containsText" dxfId="9" priority="3" operator="containsText" text="In Progress"/>
    <x:cfRule type="containsText" dxfId="10" priority="4" operator="containsText" text="Planned"/>
    <x:cfRule type="containsText" dxfId="11" priority="5" operator="containsText" text="Discovery"/>
    <x:cfRule type="containsText" dxfId="12" priority="6" operator="containsText" text="Blocked"/>
  </x:conditionalFormatting>
  <x:dataValidations count="1">
    <x:dataValidation type="list" sqref="F6:F25">
      <x:formula1>"Engineering Verified,Acceptance Pending,In Progress,Planned,Discovery,Blocked"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627147f70845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2" hidden="0" customWidth="1"/>
    <x:col min="4" max="4" width="38" hidden="0" customWidth="1"/>
    <x:col min="5" max="5" width="20" hidden="0" customWidth="1"/>
    <x:col min="6" max="6" width="12" hidden="0" customWidth="1"/>
    <x:col min="7" max="7" width="18" hidden="0" customWidth="1"/>
    <x:col min="8" max="8" width="13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34" hidden="0" customWidth="1"/>
    <x:col min="14" max="14" width="11" hidden="0" customWidth="1"/>
  </x:cols>
  <x:sheetData>
    <x:row r="1" ht="34" customHeight="1">
      <x:c r="A1" s="191" t="str">
        <x:v>EnergyIQ Delivery Plan</x:v>
      </x:c>
      <x:c r="B1" s="191" t="str">
        <x:v>EnergyIQ Delivery Plan</x:v>
      </x:c>
      <x:c r="C1" s="191" t="str">
        <x:v>EnergyIQ Delivery Plan</x:v>
      </x:c>
      <x:c r="D1" s="191" t="str">
        <x:v>EnergyIQ Delivery Plan</x:v>
      </x:c>
      <x:c r="E1" s="191" t="str">
        <x:v>EnergyIQ Delivery Plan</x:v>
      </x:c>
      <x:c r="F1" s="191" t="str">
        <x:v>EnergyIQ Delivery Plan</x:v>
      </x:c>
      <x:c r="G1" s="191" t="str">
        <x:v>EnergyIQ Delivery Plan</x:v>
      </x:c>
      <x:c r="H1" s="191" t="str">
        <x:v>EnergyIQ Delivery Plan</x:v>
      </x:c>
      <x:c r="I1" s="191" t="str">
        <x:v>EnergyIQ Delivery Plan</x:v>
      </x:c>
      <x:c r="J1" s="191" t="str">
        <x:v>EnergyIQ Delivery Plan</x:v>
      </x:c>
      <x:c r="K1" s="191" t="str">
        <x:v>EnergyIQ Delivery Plan</x:v>
      </x:c>
      <x:c r="L1" s="191" t="str">
        <x:v>EnergyIQ Delivery Plan</x:v>
      </x:c>
      <x:c r="M1" s="191" t="str">
        <x:v>EnergyIQ Delivery Plan</x:v>
      </x:c>
      <x:c r="N1" s="191" t="str">
        <x:v>EnergyIQ Delivery Plan</x:v>
      </x:c>
    </x:row>
    <x:row r="2" ht="28" customHeight="1">
      <x:c r="A2" s="192" t="str">
        <x:v>90-day execution sequence · editable status and progress feed the Control Tower</x:v>
      </x:c>
      <x:c r="B2" s="192" t="str">
        <x:v>90-day execution sequence · editable status and progress feed the Control Tower</x:v>
      </x:c>
      <x:c r="C2" s="192" t="str">
        <x:v>90-day execution sequence · editable status and progress feed the Control Tower</x:v>
      </x:c>
      <x:c r="D2" s="192" t="str">
        <x:v>90-day execution sequence · editable status and progress feed the Control Tower</x:v>
      </x:c>
      <x:c r="E2" s="192" t="str">
        <x:v>90-day execution sequence · editable status and progress feed the Control Tower</x:v>
      </x:c>
      <x:c r="F2" s="192" t="str">
        <x:v>90-day execution sequence · editable status and progress feed the Control Tower</x:v>
      </x:c>
      <x:c r="G2" s="192" t="str">
        <x:v>90-day execution sequence · editable status and progress feed the Control Tower</x:v>
      </x:c>
      <x:c r="H2" s="192" t="str">
        <x:v>90-day execution sequence · editable status and progress feed the Control Tower</x:v>
      </x:c>
      <x:c r="I2" s="192" t="str">
        <x:v>90-day execution sequence · editable status and progress feed the Control Tower</x:v>
      </x:c>
      <x:c r="J2" s="192" t="str">
        <x:v>90-day execution sequence · editable status and progress feed the Control Tower</x:v>
      </x:c>
      <x:c r="K2" s="192" t="str">
        <x:v>90-day execution sequence · editable status and progress feed the Control Tower</x:v>
      </x:c>
      <x:c r="L2" s="192" t="str">
        <x:v>90-day execution sequence · editable status and progress feed the Control Tower</x:v>
      </x:c>
      <x:c r="M2" s="192" t="str">
        <x:v>90-day execution sequence · editable status and progress feed the Control Tower</x:v>
      </x:c>
      <x:c r="N2" s="192" t="str">
        <x:v>90-day execution sequence · editable status and progress feed the Control Tower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  <x:c r="J3" s="193"/>
      <x:c r="K3" s="193"/>
      <x:c r="L3" s="193"/>
      <x:c r="M3" s="193"/>
      <x:c r="N3" s="193"/>
    </x:row>
    <x:row r="4">
      <x:c r="A4" s="193"/>
      <x:c r="B4" s="193"/>
      <x:c r="C4" s="193"/>
      <x:c r="D4" s="193"/>
      <x:c r="E4" s="193"/>
      <x:c r="F4" s="193"/>
      <x:c r="G4" s="193"/>
      <x:c r="H4" s="193"/>
      <x:c r="I4" s="193"/>
      <x:c r="J4" s="193"/>
      <x:c r="K4" s="193"/>
      <x:c r="L4" s="193"/>
      <x:c r="M4" s="193"/>
      <x:c r="N4" s="193"/>
    </x:row>
    <x:row r="5" ht="30" customHeight="1">
      <x:c r="A5" s="224" t="str">
        <x:v>ID</x:v>
      </x:c>
      <x:c r="B5" s="224" t="str">
        <x:v>Workstream</x:v>
      </x:c>
      <x:c r="C5" s="224" t="str">
        <x:v>Capability ID</x:v>
      </x:c>
      <x:c r="D5" s="224" t="str">
        <x:v>Deliverable</x:v>
      </x:c>
      <x:c r="E5" s="224" t="str">
        <x:v>Status</x:v>
      </x:c>
      <x:c r="F5" s="224" t="str">
        <x:v>% Complete</x:v>
      </x:c>
      <x:c r="G5" s="224" t="str">
        <x:v>Owner</x:v>
      </x:c>
      <x:c r="H5" s="224" t="str">
        <x:v>Start</x:v>
      </x:c>
      <x:c r="I5" s="224" t="str">
        <x:v>Due</x:v>
      </x:c>
      <x:c r="J5" s="224" t="str">
        <x:v>Dependency</x:v>
      </x:c>
      <x:c r="K5" s="224" t="str">
        <x:v>Acceptance / Exit Gate</x:v>
      </x:c>
      <x:c r="L5" s="224" t="str">
        <x:v>Evidence URL</x:v>
      </x:c>
      <x:c r="M5" s="224" t="str">
        <x:v>Next Action</x:v>
      </x:c>
      <x:c r="N5" s="224" t="str">
        <x:v>RAG</x:v>
      </x:c>
    </x:row>
    <x:row r="6">
      <x:c r="A6" s="158" t="str">
        <x:v>DLV-001</x:v>
      </x:c>
      <x:c r="B6" s="158" t="str">
        <x:v>Verified Foundation</x:v>
      </x:c>
      <x:c r="C6" s="158" t="str">
        <x:v>CAP-01</x:v>
      </x:c>
      <x:c r="D6" s="158" t="str">
        <x:v>Lock Snapshot, Evidence and project-scoped identity</x:v>
      </x:c>
      <x:c r="E6" s="158" t="str">
        <x:v>Engineering Verified</x:v>
      </x:c>
      <x:c r="F6" s="159" t="n">
        <x:v>1</x:v>
      </x:c>
      <x:c r="G6" s="158" t="str">
        <x:v>Platform</x:v>
      </x:c>
      <x:c r="H6" s="160" t="n">
        <x:v>46237</x:v>
      </x:c>
      <x:c r="I6" s="160" t="n">
        <x:v>46241</x:v>
      </x:c>
      <x:c r="J6" s="158" t="str"/>
      <x:c r="K6" s="158" t="str">
        <x:v>Exact identity tests and persisted Evidence</x:v>
      </x:c>
      <x:c r="L6" s="158" t="str">
        <x:v>https://github.com/Zion74/energyiq-datafoundry/issues/25</x:v>
      </x:c>
      <x:c r="M6" s="158" t="str">
        <x:v>Keep regression suite green</x:v>
      </x:c>
      <x:c r="N6" s="158" t="str">
        <x:v>Green</x:v>
      </x:c>
    </x:row>
    <x:row r="7">
      <x:c r="A7" s="161" t="str">
        <x:v>DLV-002</x:v>
      </x:c>
      <x:c r="B7" s="161" t="str">
        <x:v>Verified Foundation</x:v>
      </x:c>
      <x:c r="C7" s="161" t="str">
        <x:v>CAP-02</x:v>
      </x:c>
      <x:c r="D7" s="161" t="str">
        <x:v>Deliver Ngee Ann deterministic Overview</x:v>
      </x:c>
      <x:c r="E7" s="161" t="str">
        <x:v>Engineering Verified</x:v>
      </x:c>
      <x:c r="F7" s="162" t="n">
        <x:v>1</x:v>
      </x:c>
      <x:c r="G7" s="161" t="str">
        <x:v>Product + Data</x:v>
      </x:c>
      <x:c r="H7" s="163" t="n">
        <x:v>46237</x:v>
      </x:c>
      <x:c r="I7" s="163" t="n">
        <x:v>46244</x:v>
      </x:c>
      <x:c r="J7" s="161" t="str">
        <x:v>DLV-001</x:v>
      </x:c>
      <x:c r="K7" s="161" t="str">
        <x:v>Golden data, hierarchy and decision-page evidence</x:v>
      </x:c>
      <x:c r="L7" s="161" t="str">
        <x:v>https://github.com/Zion74/energyiq-datafoundry/issues/6</x:v>
      </x:c>
      <x:c r="M7" s="161" t="str">
        <x:v>Use as the non-AI truth layer</x:v>
      </x:c>
      <x:c r="N7" s="161" t="str">
        <x:v>Green</x:v>
      </x:c>
    </x:row>
    <x:row r="8">
      <x:c r="A8" s="161" t="str">
        <x:v>DLV-003</x:v>
      </x:c>
      <x:c r="B8" s="161" t="str">
        <x:v>Verified Foundation</x:v>
      </x:c>
      <x:c r="C8" s="161" t="str">
        <x:v>CAP-03</x:v>
      </x:c>
      <x:c r="D8" s="161" t="str">
        <x:v>Deliver Preschool deterministic decision Overview</x:v>
      </x:c>
      <x:c r="E8" s="161" t="str">
        <x:v>Engineering Verified</x:v>
      </x:c>
      <x:c r="F8" s="162" t="n">
        <x:v>1</x:v>
      </x:c>
      <x:c r="G8" s="161" t="str">
        <x:v>Product + Data</x:v>
      </x:c>
      <x:c r="H8" s="163" t="n">
        <x:v>46240</x:v>
      </x:c>
      <x:c r="I8" s="163" t="n">
        <x:v>46246</x:v>
      </x:c>
      <x:c r="J8" s="161" t="str">
        <x:v>DLV-001</x:v>
      </x:c>
      <x:c r="K8" s="161" t="str">
        <x:v>Benchmark and operating sections accepted in engineering</x:v>
      </x:c>
      <x:c r="L8" s="161" t="str">
        <x:v>https://github.com/Zion74/energyiq-datafoundry/issues/10</x:v>
      </x:c>
      <x:c r="M8" s="161" t="str">
        <x:v>Continue human content review</x:v>
      </x:c>
      <x:c r="N8" s="161" t="str">
        <x:v>Green</x:v>
      </x:c>
    </x:row>
    <x:row r="9">
      <x:c r="A9" s="161" t="str">
        <x:v>DLV-004</x:v>
      </x:c>
      <x:c r="B9" s="161" t="str">
        <x:v>Verified Foundation</x:v>
      </x:c>
      <x:c r="C9" s="161" t="str">
        <x:v>CAP-04</x:v>
      </x:c>
      <x:c r="D9" s="161" t="str">
        <x:v>Connect trusted AI Analyst and Saved Analysis</x:v>
      </x:c>
      <x:c r="E9" s="161" t="str">
        <x:v>Engineering Verified</x:v>
      </x:c>
      <x:c r="F9" s="162" t="n">
        <x:v>1</x:v>
      </x:c>
      <x:c r="G9" s="161" t="str">
        <x:v>AI Platform</x:v>
      </x:c>
      <x:c r="H9" s="163" t="n">
        <x:v>46237</x:v>
      </x:c>
      <x:c r="I9" s="163" t="n">
        <x:v>46241</x:v>
      </x:c>
      <x:c r="J9" s="161" t="str">
        <x:v>DLV-001</x:v>
      </x:c>
      <x:c r="K9" s="161" t="str">
        <x:v>Scoped queries, Evidence and restore tests</x:v>
      </x:c>
      <x:c r="L9" s="161" t="str">
        <x:v>https://github.com/Zion74/energyiq-datafoundry/issues/14</x:v>
      </x:c>
      <x:c r="M9" s="161" t="str">
        <x:v>Maintain project and period boundaries</x:v>
      </x:c>
      <x:c r="N9" s="161" t="str">
        <x:v>Green</x:v>
      </x:c>
    </x:row>
    <x:row r="10">
      <x:c r="A10" s="161" t="str">
        <x:v>DLV-005</x:v>
      </x:c>
      <x:c r="B10" s="161" t="str">
        <x:v>Verified Foundation</x:v>
      </x:c>
      <x:c r="C10" s="161" t="str">
        <x:v>CAP-08</x:v>
      </x:c>
      <x:c r="D10" s="161" t="str">
        <x:v>Complete Preschool A to B engineering acceptance</x:v>
      </x:c>
      <x:c r="E10" s="161" t="str">
        <x:v>Engineering Verified</x:v>
      </x:c>
      <x:c r="F10" s="162" t="n">
        <x:v>1</x:v>
      </x:c>
      <x:c r="G10" s="161" t="str">
        <x:v>Product + AI</x:v>
      </x:c>
      <x:c r="H10" s="163" t="n">
        <x:v>46248</x:v>
      </x:c>
      <x:c r="I10" s="163" t="n">
        <x:v>46251</x:v>
      </x:c>
      <x:c r="J10" s="161" t="str">
        <x:v>DLV-003;DLV-004</x:v>
      </x:c>
      <x:c r="K10" s="161" t="str">
        <x:v>Overview and AI domain change; stale Artifact rejected</x:v>
      </x:c>
      <x:c r="L10" s="161" t="str">
        <x:v>https://github.com/Zion74/energyiq-datafoundry/issues/60</x:v>
      </x:c>
      <x:c r="M10" s="161" t="str">
        <x:v>Repeat on Ngee after adapter acceptance</x:v>
      </x:c>
      <x:c r="N10" s="161" t="str">
        <x:v>Green</x:v>
      </x:c>
    </x:row>
    <x:row r="11">
      <x:c r="A11" s="161" t="str">
        <x:v>DLV-101</x:v>
      </x:c>
      <x:c r="B11" s="161" t="str">
        <x:v>Acceptance Hardening</x:v>
      </x:c>
      <x:c r="C11" s="161" t="str">
        <x:v>CAP-05</x:v>
      </x:c>
      <x:c r="D11" s="161" t="str">
        <x:v>Human-review Preschool Key Findings</x:v>
      </x:c>
      <x:c r="E11" s="161" t="str">
        <x:v>Acceptance Pending</x:v>
      </x:c>
      <x:c r="F11" s="162" t="n">
        <x:v>0.9</x:v>
      </x:c>
      <x:c r="G11" s="161" t="str">
        <x:v>Product</x:v>
      </x:c>
      <x:c r="H11" s="163" t="n">
        <x:v>46251</x:v>
      </x:c>
      <x:c r="I11" s="163" t="n">
        <x:v>46255</x:v>
      </x:c>
      <x:c r="J11" s="161" t="str">
        <x:v>DLV-003</x:v>
      </x:c>
      <x:c r="K11" s="161" t="str">
        <x:v>Boss can identify top conclusions in 20 seconds</x:v>
      </x:c>
      <x:c r="L11" s="161" t="str">
        <x:v>https://github.com/Zion74/energyiq-datafoundry/issues/47</x:v>
      </x:c>
      <x:c r="M11" s="161" t="str">
        <x:v>Score clarity, priority and usefulness</x:v>
      </x:c>
      <x:c r="N11" s="161" t="str">
        <x:v>Amber</x:v>
      </x:c>
    </x:row>
    <x:row r="12">
      <x:c r="A12" s="161" t="str">
        <x:v>DLV-102</x:v>
      </x:c>
      <x:c r="B12" s="161" t="str">
        <x:v>Acceptance Hardening</x:v>
      </x:c>
      <x:c r="C12" s="161" t="str">
        <x:v>CAP-06</x:v>
      </x:c>
      <x:c r="D12" s="161" t="str">
        <x:v>Human-review every Preschool Section Insight</x:v>
      </x:c>
      <x:c r="E12" s="161" t="str">
        <x:v>Acceptance Pending</x:v>
      </x:c>
      <x:c r="F12" s="162" t="n">
        <x:v>0.9</x:v>
      </x:c>
      <x:c r="G12" s="161" t="str">
        <x:v>Product + Energy</x:v>
      </x:c>
      <x:c r="H12" s="163" t="n">
        <x:v>46251</x:v>
      </x:c>
      <x:c r="I12" s="163" t="n">
        <x:v>46258</x:v>
      </x:c>
      <x:c r="J12" s="161" t="str">
        <x:v>DLV-003</x:v>
      </x:c>
      <x:c r="K12" s="161" t="str">
        <x:v>Summary is direct; Insights add a worthwhile angle</x:v>
      </x:c>
      <x:c r="L12" s="161" t="str">
        <x:v>https://github.com/Zion74/energyiq-datafoundry/issues/47</x:v>
      </x:c>
      <x:c r="M12" s="161" t="str">
        <x:v>Record weak/redundant outputs</x:v>
      </x:c>
      <x:c r="N12" s="161" t="str">
        <x:v>Amber</x:v>
      </x:c>
    </x:row>
    <x:row r="13">
      <x:c r="A13" s="161" t="str">
        <x:v>DLV-103</x:v>
      </x:c>
      <x:c r="B13" s="161" t="str">
        <x:v>Acceptance Hardening</x:v>
      </x:c>
      <x:c r="C13" s="161" t="str">
        <x:v>CAP-07</x:v>
      </x:c>
      <x:c r="D13" s="161" t="str">
        <x:v>Approve and publish useful Additional Insights</x:v>
      </x:c>
      <x:c r="E13" s="161" t="str">
        <x:v>Acceptance Pending</x:v>
      </x:c>
      <x:c r="F13" s="162" t="n">
        <x:v>0.9</x:v>
      </x:c>
      <x:c r="G13" s="161" t="str">
        <x:v>Energy + AI</x:v>
      </x:c>
      <x:c r="H13" s="163" t="n">
        <x:v>46251</x:v>
      </x:c>
      <x:c r="I13" s="163" t="n">
        <x:v>46258</x:v>
      </x:c>
      <x:c r="J13" s="161" t="str">
        <x:v>DLV-004</x:v>
      </x:c>
      <x:c r="K13" s="161" t="str">
        <x:v>Fact, inference and speculation remain honestly separated</x:v>
      </x:c>
      <x:c r="L13" s="161" t="str">
        <x:v>https://github.com/Zion74/energyiq-datafoundry/issues/58</x:v>
      </x:c>
      <x:c r="M13" s="161" t="str">
        <x:v>Review current production candidates</x:v>
      </x:c>
      <x:c r="N13" s="161" t="str">
        <x:v>Amber</x:v>
      </x:c>
    </x:row>
    <x:row r="14">
      <x:c r="A14" s="161" t="str">
        <x:v>DLV-104</x:v>
      </x:c>
      <x:c r="B14" s="161" t="str">
        <x:v>Acceptance Hardening</x:v>
      </x:c>
      <x:c r="C14" s="161" t="str">
        <x:v>CAP-10</x:v>
      </x:c>
      <x:c r="D14" s="161" t="str">
        <x:v>Run Charles and Ngee multi-account browser acceptance</x:v>
      </x:c>
      <x:c r="E14" s="161" t="str">
        <x:v>Acceptance Pending</x:v>
      </x:c>
      <x:c r="F14" s="162" t="n">
        <x:v>0.7</x:v>
      </x:c>
      <x:c r="G14" s="161" t="str">
        <x:v>QA + Ops</x:v>
      </x:c>
      <x:c r="H14" s="163" t="n">
        <x:v>46251</x:v>
      </x:c>
      <x:c r="I14" s="163" t="n">
        <x:v>46258</x:v>
      </x:c>
      <x:c r="J14" s="161" t="str">
        <x:v>DLV-002;DLV-003</x:v>
      </x:c>
      <x:c r="K14" s="161" t="str">
        <x:v>Admin sees all; Ngee account sees Ngee only; AI works</x:v>
      </x:c>
      <x:c r="L14" s="161" t="str">
        <x:v>https://github.com/Zion74/energyiq-datafoundry/issues/53</x:v>
      </x:c>
      <x:c r="M14" s="161" t="str">
        <x:v>Capture screenshots and access matrix</x:v>
      </x:c>
      <x:c r="N14" s="161" t="str">
        <x:v>Amber</x:v>
      </x:c>
    </x:row>
    <x:row r="15">
      <x:c r="A15" s="161" t="str">
        <x:v>DLV-105</x:v>
      </x:c>
      <x:c r="B15" s="161" t="str">
        <x:v>Acceptance Hardening</x:v>
      </x:c>
      <x:c r="C15" s="161" t="str">
        <x:v>CAP-14</x:v>
      </x:c>
      <x:c r="D15" s="161" t="str">
        <x:v>Accept Admin AI Operations and Finding trace</x:v>
      </x:c>
      <x:c r="E15" s="161" t="str">
        <x:v>Acceptance Pending</x:v>
      </x:c>
      <x:c r="F15" s="162" t="n">
        <x:v>0.7</x:v>
      </x:c>
      <x:c r="G15" s="161" t="str">
        <x:v>Admin Product</x:v>
      </x:c>
      <x:c r="H15" s="163" t="n">
        <x:v>46251</x:v>
      </x:c>
      <x:c r="I15" s="163" t="n">
        <x:v>46262</x:v>
      </x:c>
      <x:c r="J15" s="161" t="str">
        <x:v>CAP-09</x:v>
      </x:c>
      <x:c r="K15" s="161" t="str">
        <x:v>Available vs used is clear; no GET triggers Provider</x:v>
      </x:c>
      <x:c r="L15" s="161" t="str">
        <x:v>https://github.com/Zion74/energyiq-datafoundry/issues/61</x:v>
      </x:c>
      <x:c r="M15" s="161" t="str">
        <x:v>Complete human review</x:v>
      </x:c>
      <x:c r="N15" s="161" t="str">
        <x:v>Amber</x:v>
      </x:c>
    </x:row>
    <x:row r="16">
      <x:c r="A16" s="161" t="str">
        <x:v>DLV-106</x:v>
      </x:c>
      <x:c r="B16" s="161" t="str">
        <x:v>Acceptance Hardening</x:v>
      </x:c>
      <x:c r="C16" s="161" t="str">
        <x:v>CAP-19</x:v>
      </x:c>
      <x:c r="D16" s="161" t="str">
        <x:v>Publish pilot runbook and rollback evidence</x:v>
      </x:c>
      <x:c r="E16" s="161" t="str">
        <x:v>In Progress</x:v>
      </x:c>
      <x:c r="F16" s="162" t="n">
        <x:v>0.55</x:v>
      </x:c>
      <x:c r="G16" s="161" t="str">
        <x:v>Ops</x:v>
      </x:c>
      <x:c r="H16" s="163" t="n">
        <x:v>46254</x:v>
      </x:c>
      <x:c r="I16" s="163" t="n">
        <x:v>46262</x:v>
      </x:c>
      <x:c r="J16" s="161" t="str">
        <x:v>DLV-104</x:v>
      </x:c>
      <x:c r="K16" s="161" t="str">
        <x:v>Health, backup, rollback and account runbook accepted</x:v>
      </x:c>
      <x:c r="L16" s="161" t="str">
        <x:v>https://github.com/Zion74/energyiq-datafoundry/issues/21</x:v>
      </x:c>
      <x:c r="M16" s="161" t="str">
        <x:v>Name operations owner</x:v>
      </x:c>
      <x:c r="N16" s="161" t="str">
        <x:v>Amber</x:v>
      </x:c>
    </x:row>
    <x:row r="17">
      <x:c r="A17" s="161" t="str">
        <x:v>DLV-201</x:v>
      </x:c>
      <x:c r="B17" s="161" t="str">
        <x:v>Cross-project AI</x:v>
      </x:c>
      <x:c r="C17" s="161" t="str">
        <x:v>CAP-11</x:v>
      </x:c>
      <x:c r="D17" s="161" t="str">
        <x:v>Close Ngee Ann server-persisted Layer 1-3 Adapter</x:v>
      </x:c>
      <x:c r="E17" s="161" t="str">
        <x:v>In Progress</x:v>
      </x:c>
      <x:c r="F17" s="162" t="n">
        <x:v>0.85</x:v>
      </x:c>
      <x:c r="G17" s="161" t="str">
        <x:v>AI Platform</x:v>
      </x:c>
      <x:c r="H17" s="163" t="n">
        <x:v>46249</x:v>
      </x:c>
      <x:c r="I17" s="163" t="n">
        <x:v>46262</x:v>
      </x:c>
      <x:c r="J17" s="161" t="str">
        <x:v>DLV-002;DLV-004</x:v>
      </x:c>
      <x:c r="K17" s="161" t="str">
        <x:v>Saved/live restore exact; normal page open starts zero Provider runs</x:v>
      </x:c>
      <x:c r="L17" s="161" t="str">
        <x:v>https://github.com/Zion74/energyiq-datafoundry/issues/55</x:v>
      </x:c>
      <x:c r="M17" s="161" t="str">
        <x:v>Finish Provider and human acceptance</x:v>
      </x:c>
      <x:c r="N17" s="161" t="str">
        <x:v>Amber</x:v>
      </x:c>
    </x:row>
    <x:row r="18">
      <x:c r="A18" s="161" t="str">
        <x:v>DLV-202</x:v>
      </x:c>
      <x:c r="B18" s="161" t="str">
        <x:v>Cross-project AI</x:v>
      </x:c>
      <x:c r="C18" s="161" t="str">
        <x:v>CAP-12</x:v>
      </x:c>
      <x:c r="D18" s="161" t="str">
        <x:v>Run real Ngee Ann Snapshot A to B</x:v>
      </x:c>
      <x:c r="E18" s="161" t="str">
        <x:v>Planned</x:v>
      </x:c>
      <x:c r="F18" s="162" t="n">
        <x:v>0.15</x:v>
      </x:c>
      <x:c r="G18" s="161" t="str">
        <x:v>Product + AI</x:v>
      </x:c>
      <x:c r="H18" s="163" t="n">
        <x:v>46265</x:v>
      </x:c>
      <x:c r="I18" s="163" t="n">
        <x:v>46276</x:v>
      </x:c>
      <x:c r="J18" s="161" t="str">
        <x:v>DLV-201</x:v>
      </x:c>
      <x:c r="K18" s="161" t="str">
        <x:v>Retained, updated, new and removed conclusions are visible</x:v>
      </x:c>
      <x:c r="L18" s="161" t="str">
        <x:v>https://github.com/Zion74/energyiq-datafoundry/issues/56</x:v>
      </x:c>
      <x:c r="M18" s="161" t="str">
        <x:v>Prepare controlled Snapshot B</x:v>
      </x:c>
      <x:c r="N18" s="161" t="str">
        <x:v>Blue</x:v>
      </x:c>
    </x:row>
    <x:row r="19">
      <x:c r="A19" s="161" t="str">
        <x:v>DLV-203</x:v>
      </x:c>
      <x:c r="B19" s="161" t="str">
        <x:v>Cross-project AI</x:v>
      </x:c>
      <x:c r="C19" s="161" t="str">
        <x:v>CAP-11</x:v>
      </x:c>
      <x:c r="D19" s="161" t="str">
        <x:v>Document common adapter and project-specific pack boundary</x:v>
      </x:c>
      <x:c r="E19" s="161" t="str">
        <x:v>Planned</x:v>
      </x:c>
      <x:c r="F19" s="162" t="n">
        <x:v>0.2</x:v>
      </x:c>
      <x:c r="G19" s="161" t="str">
        <x:v>Architecture</x:v>
      </x:c>
      <x:c r="H19" s="163" t="n">
        <x:v>46272</x:v>
      </x:c>
      <x:c r="I19" s="163" t="n">
        <x:v>46283</x:v>
      </x:c>
      <x:c r="J19" s="161" t="str">
        <x:v>DLV-201;DLV-202</x:v>
      </x:c>
      <x:c r="K19" s="161" t="str">
        <x:v>A third project can implement the contract without copying sections</x:v>
      </x:c>
      <x:c r="L19" s="161" t="str">
        <x:v>https://github.com/Zion74/energyiq-datafoundry/issues/54</x:v>
      </x:c>
      <x:c r="M19" s="161" t="str">
        <x:v>Extract only proven common mechanisms</x:v>
      </x:c>
      <x:c r="N19" s="161" t="str">
        <x:v>Blue</x:v>
      </x:c>
    </x:row>
    <x:row r="20">
      <x:c r="A20" s="161" t="str">
        <x:v>DLV-301</x:v>
      </x:c>
      <x:c r="B20" s="161" t="str">
        <x:v>Learning Loop</x:v>
      </x:c>
      <x:c r="C20" s="161" t="str">
        <x:v>CAP-13</x:v>
      </x:c>
      <x:c r="D20" s="161" t="str">
        <x:v>Capture usefulness, novelty, clarity and Explore events</x:v>
      </x:c>
      <x:c r="E20" s="161" t="str">
        <x:v>Planned</x:v>
      </x:c>
      <x:c r="F20" s="162" t="n">
        <x:v>0.1</x:v>
      </x:c>
      <x:c r="G20" s="161" t="str">
        <x:v>Product Analytics</x:v>
      </x:c>
      <x:c r="H20" s="163" t="n">
        <x:v>46286</x:v>
      </x:c>
      <x:c r="I20" s="163" t="n">
        <x:v>46297</x:v>
      </x:c>
      <x:c r="J20" s="161" t="str">
        <x:v>DLV-102;DLV-202</x:v>
      </x:c>
      <x:c r="K20" s="161" t="str">
        <x:v>Feedback is project/snapshot/finding scoped</x:v>
      </x:c>
      <x:c r="L20" s="161" t="str">
        <x:v>https://github.com/Zion74/energyiq-datafoundry/issues/57</x:v>
      </x:c>
      <x:c r="M20" s="161" t="str">
        <x:v>Define minimal feedback contract</x:v>
      </x:c>
      <x:c r="N20" s="161" t="str">
        <x:v>Blue</x:v>
      </x:c>
    </x:row>
    <x:row r="21">
      <x:c r="A21" s="161" t="str">
        <x:v>DLV-302</x:v>
      </x:c>
      <x:c r="B21" s="161" t="str">
        <x:v>Learning Loop</x:v>
      </x:c>
      <x:c r="C21" s="161" t="str">
        <x:v>CAP-13</x:v>
      </x:c>
      <x:c r="D21" s="161" t="str">
        <x:v>Create Insight-to-Method proposal flow</x:v>
      </x:c>
      <x:c r="E21" s="161" t="str">
        <x:v>Planned</x:v>
      </x:c>
      <x:c r="F21" s="162" t="n">
        <x:v>0.1</x:v>
      </x:c>
      <x:c r="G21" s="161" t="str">
        <x:v>Energy + Admin</x:v>
      </x:c>
      <x:c r="H21" s="163" t="n">
        <x:v>46293</x:v>
      </x:c>
      <x:c r="I21" s="163" t="n">
        <x:v>46304</x:v>
      </x:c>
      <x:c r="J21" s="161" t="str">
        <x:v>DLV-301</x:v>
      </x:c>
      <x:c r="K21" s="161" t="str">
        <x:v>User-approved Insight can become a reviewable Method proposal</x:v>
      </x:c>
      <x:c r="L21" s="161" t="str">
        <x:v>https://github.com/Zion74/energyiq-datafoundry/issues/57</x:v>
      </x:c>
      <x:c r="M21" s="161" t="str">
        <x:v>Define proposal and approval UI</x:v>
      </x:c>
      <x:c r="N21" s="161" t="str">
        <x:v>Blue</x:v>
      </x:c>
    </x:row>
    <x:row r="22">
      <x:c r="A22" s="161" t="str">
        <x:v>DLV-303</x:v>
      </x:c>
      <x:c r="B22" s="161" t="str">
        <x:v>Learning Loop</x:v>
      </x:c>
      <x:c r="C22" s="161" t="str">
        <x:v>CAP-16</x:v>
      </x:c>
      <x:c r="D22" s="161" t="str">
        <x:v>Version governed Harness policy</x:v>
      </x:c>
      <x:c r="E22" s="161" t="str">
        <x:v>Planned</x:v>
      </x:c>
      <x:c r="F22" s="162" t="n">
        <x:v>0.1</x:v>
      </x:c>
      <x:c r="G22" s="161" t="str">
        <x:v>AI Platform</x:v>
      </x:c>
      <x:c r="H22" s="163" t="n">
        <x:v>46293</x:v>
      </x:c>
      <x:c r="I22" s="163" t="n">
        <x:v>46304</x:v>
      </x:c>
      <x:c r="J22" s="161" t="str">
        <x:v>DLV-105</x:v>
      </x:c>
      <x:c r="K22" s="161" t="str">
        <x:v>Policy revisions are attributable and recoverable</x:v>
      </x:c>
      <x:c r="L22" s="161" t="str">
        <x:v>https://github.com/Zion74/energyiq-datafoundry/issues/66</x:v>
      </x:c>
      <x:c r="M22" s="161" t="str">
        <x:v>Agree governance owner</x:v>
      </x:c>
      <x:c r="N22" s="161" t="str">
        <x:v>Blue</x:v>
      </x:c>
    </x:row>
    <x:row r="23">
      <x:c r="A23" s="161" t="str">
        <x:v>DLV-401</x:v>
      </x:c>
      <x:c r="B23" s="161" t="str">
        <x:v>Pilot Scale</x:v>
      </x:c>
      <x:c r="C23" s="161" t="str">
        <x:v>CAP-17</x:v>
      </x:c>
      <x:c r="D23" s="161" t="str">
        <x:v>Prototype AI Template Proposal, Diff and Preview</x:v>
      </x:c>
      <x:c r="E23" s="161" t="str">
        <x:v>Planned</x:v>
      </x:c>
      <x:c r="F23" s="162" t="n">
        <x:v>0.2</x:v>
      </x:c>
      <x:c r="G23" s="161" t="str">
        <x:v>Admin Product</x:v>
      </x:c>
      <x:c r="H23" s="163" t="n">
        <x:v>46307</x:v>
      </x:c>
      <x:c r="I23" s="163" t="n">
        <x:v>46318</x:v>
      </x:c>
      <x:c r="J23" s="161" t="str">
        <x:v>DLV-203;DLV-303</x:v>
      </x:c>
      <x:c r="K23" s="161" t="str">
        <x:v>AI proposes; human reviews; publish remains explicit</x:v>
      </x:c>
      <x:c r="L23" s="161" t="str">
        <x:v>https://github.com/Zion74/energyiq-datafoundry/issues/46</x:v>
      </x:c>
      <x:c r="M23" s="161" t="str">
        <x:v>Keep production publish approval-gated</x:v>
      </x:c>
      <x:c r="N23" s="161" t="str">
        <x:v>Blue</x:v>
      </x:c>
    </x:row>
    <x:row r="24">
      <x:c r="A24" s="161" t="str">
        <x:v>DLV-402</x:v>
      </x:c>
      <x:c r="B24" s="161" t="str">
        <x:v>Pilot Scale</x:v>
      </x:c>
      <x:c r="C24" s="161" t="str">
        <x:v>CAP-18</x:v>
      </x:c>
      <x:c r="D24" s="161" t="str">
        <x:v>Prototype controlled visual Insight canvas</x:v>
      </x:c>
      <x:c r="E24" s="161" t="str">
        <x:v>Planned</x:v>
      </x:c>
      <x:c r="F24" s="162" t="n">
        <x:v>0.1</x:v>
      </x:c>
      <x:c r="G24" s="161" t="str">
        <x:v>Frontend + AI</x:v>
      </x:c>
      <x:c r="H24" s="163" t="n">
        <x:v>46314</x:v>
      </x:c>
      <x:c r="I24" s="163" t="n">
        <x:v>46325</x:v>
      </x:c>
      <x:c r="J24" s="161" t="str">
        <x:v>DLV-301</x:v>
      </x:c>
      <x:c r="K24" s="161" t="str">
        <x:v>Charts appear only when they improve understanding</x:v>
      </x:c>
      <x:c r="L24" s="161" t="str">
        <x:v>https://github.com/Zion74/energyiq-datafoundry/issues/35</x:v>
      </x:c>
      <x:c r="M24" s="161" t="str">
        <x:v>Select two high-value chart patterns</x:v>
      </x:c>
      <x:c r="N24" s="161" t="str">
        <x:v>Blue</x:v>
      </x:c>
    </x:row>
    <x:row r="25">
      <x:c r="A25" s="161" t="str">
        <x:v>DLV-403</x:v>
      </x:c>
      <x:c r="B25" s="161" t="str">
        <x:v>Pilot Scale</x:v>
      </x:c>
      <x:c r="C25" s="161" t="str">
        <x:v>CAP-20</x:v>
      </x:c>
      <x:c r="D25" s="161" t="str">
        <x:v>Run isolated Coding Agent architecture spike</x:v>
      </x:c>
      <x:c r="E25" s="161" t="str">
        <x:v>Discovery</x:v>
      </x:c>
      <x:c r="F25" s="162" t="n">
        <x:v>0.05</x:v>
      </x:c>
      <x:c r="G25" s="161" t="str">
        <x:v>Architecture</x:v>
      </x:c>
      <x:c r="H25" s="163" t="n">
        <x:v>46314</x:v>
      </x:c>
      <x:c r="I25" s="163" t="n">
        <x:v>46332</x:v>
      </x:c>
      <x:c r="J25" s="161" t="str">
        <x:v>DLV-203;DLV-303</x:v>
      </x:c>
      <x:c r="K25" s="161" t="str">
        <x:v>One user request becomes a reviewable, rerunnable proposal</x:v>
      </x:c>
      <x:c r="L25" s="161" t="str">
        <x:v>Product roadmap hypothesis</x:v>
      </x:c>
      <x:c r="M25" s="161" t="str">
        <x:v>Keep outside production runtime</x:v>
      </x:c>
      <x:c r="N25" s="161" t="str">
        <x:v>Blue</x:v>
      </x:c>
    </x:row>
    <x:row r="26">
      <x:c r="A26" s="161" t="str">
        <x:v>DLV-404</x:v>
      </x:c>
      <x:c r="B26" s="161" t="str">
        <x:v>Pilot Scale</x:v>
      </x:c>
      <x:c r="C26" s="161" t="str">
        <x:v>CAP-19</x:v>
      </x:c>
      <x:c r="D26" s="161" t="str">
        <x:v>Complete customer handover and commercial pilot review</x:v>
      </x:c>
      <x:c r="E26" s="161" t="str">
        <x:v>Planned</x:v>
      </x:c>
      <x:c r="F26" s="162" t="n">
        <x:v>0.1</x:v>
      </x:c>
      <x:c r="G26" s="161" t="str">
        <x:v>Product + Sales</x:v>
      </x:c>
      <x:c r="H26" s="163" t="n">
        <x:v>46328</x:v>
      </x:c>
      <x:c r="I26" s="163" t="n">
        <x:v>46332</x:v>
      </x:c>
      <x:c r="J26" s="161" t="str">
        <x:v>DLV-104;DLV-202;DLV-302</x:v>
      </x:c>
      <x:c r="K26" s="161" t="str">
        <x:v>Usage, value, support and next-phase decisions are signed</x:v>
      </x:c>
      <x:c r="L26" s="161" t="str">
        <x:v>https://github.com/Zion74/energyiq-datafoundry/issues/21</x:v>
      </x:c>
      <x:c r="M26" s="161" t="str">
        <x:v>Agree pilot owner and success metrics</x:v>
      </x:c>
      <x:c r="N26" s="161" t="str">
        <x:v>Blue</x:v>
      </x:c>
    </x:row>
  </x:sheetData>
  <x:mergeCells>
    <x:mergeCell ref="A1:N1"/>
    <x:mergeCell ref="A2:N2"/>
  </x:mergeCells>
  <x:conditionalFormatting sqref="E6:E26">
    <x:cfRule type="containsText" dxfId="13" priority="1" operator="containsText" text="Engineering Verified"/>
    <x:cfRule type="containsText" dxfId="14" priority="2" operator="containsText" text="Acceptance Pending"/>
    <x:cfRule type="containsText" dxfId="15" priority="3" operator="containsText" text="In Progress"/>
    <x:cfRule type="containsText" dxfId="16" priority="4" operator="containsText" text="Planned"/>
    <x:cfRule type="containsText" dxfId="17" priority="5" operator="containsText" text="Discovery"/>
    <x:cfRule type="containsText" dxfId="18" priority="6" operator="containsText" text="Blocked"/>
  </x:conditionalFormatting>
  <x:conditionalFormatting sqref="N6:N26">
    <x:cfRule type="containsText" dxfId="19" priority="7" operator="containsText" text="Green"/>
    <x:cfRule type="containsText" dxfId="20" priority="8" operator="containsText" text="Amber"/>
    <x:cfRule type="containsText" dxfId="21" priority="9" operator="containsText" text="Red"/>
  </x:conditionalFormatting>
  <x:dataValidations count="2">
    <x:dataValidation type="list" sqref="E6:E26">
      <x:formula1>"Engineering Verified,Acceptance Pending,In Progress,Planned,Discovery,Blocked"</x:formula1>
    </x:dataValidation>
    <x:dataValidation type="list" sqref="N6:N26">
      <x:formula1>"Green,Amber,Red,Blue"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7c1e8a51f44f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3" hidden="0" customWidth="1"/>
    <x:col min="4" max="4" width="13" hidden="0" customWidth="1"/>
    <x:col min="5" max="5" width="36" hidden="0" customWidth="1"/>
    <x:col min="6" max="6" width="42" hidden="0" customWidth="1"/>
    <x:col min="7" max="7" width="44" hidden="0" customWidth="1"/>
    <x:col min="8" max="8" width="34" hidden="0" customWidth="1"/>
    <x:col min="9" max="9" width="20" hidden="0" customWidth="1"/>
    <x:col min="10" max="10" width="38" hidden="0" customWidth="1"/>
  </x:cols>
  <x:sheetData>
    <x:row r="1" ht="34" customHeight="1">
      <x:c r="A1" s="191" t="str">
        <x:v>EnergyIQ Product Roadmap · Aug–Nov 2026</x:v>
      </x:c>
      <x:c r="B1" s="191" t="str">
        <x:v>EnergyIQ Product Roadmap · Aug–Nov 2026</x:v>
      </x:c>
      <x:c r="C1" s="191" t="str">
        <x:v>EnergyIQ Product Roadmap · Aug–Nov 2026</x:v>
      </x:c>
      <x:c r="D1" s="191" t="str">
        <x:v>EnergyIQ Product Roadmap · Aug–Nov 2026</x:v>
      </x:c>
      <x:c r="E1" s="191" t="str">
        <x:v>EnergyIQ Product Roadmap · Aug–Nov 2026</x:v>
      </x:c>
      <x:c r="F1" s="191" t="str">
        <x:v>EnergyIQ Product Roadmap · Aug–Nov 2026</x:v>
      </x:c>
      <x:c r="G1" s="191" t="str">
        <x:v>EnergyIQ Product Roadmap · Aug–Nov 2026</x:v>
      </x:c>
      <x:c r="H1" s="191" t="str">
        <x:v>EnergyIQ Product Roadmap · Aug–Nov 2026</x:v>
      </x:c>
      <x:c r="I1" s="191" t="str">
        <x:v>EnergyIQ Product Roadmap · Aug–Nov 2026</x:v>
      </x:c>
      <x:c r="J1" s="191" t="str">
        <x:v>EnergyIQ Product Roadmap · Aug–Nov 2026</x:v>
      </x:c>
    </x:row>
    <x:row r="2" ht="28" customHeight="1">
      <x:c r="A2" s="192" t="str">
        <x:v>Outcome-based phases and exit gates · dates are indicative until R1 owners and access are confirmed</x:v>
      </x:c>
      <x:c r="B2" s="192" t="str">
        <x:v>Outcome-based phases and exit gates · dates are indicative until R1 owners and access are confirmed</x:v>
      </x:c>
      <x:c r="C2" s="192" t="str">
        <x:v>Outcome-based phases and exit gates · dates are indicative until R1 owners and access are confirmed</x:v>
      </x:c>
      <x:c r="D2" s="192" t="str">
        <x:v>Outcome-based phases and exit gates · dates are indicative until R1 owners and access are confirmed</x:v>
      </x:c>
      <x:c r="E2" s="192" t="str">
        <x:v>Outcome-based phases and exit gates · dates are indicative until R1 owners and access are confirmed</x:v>
      </x:c>
      <x:c r="F2" s="192" t="str">
        <x:v>Outcome-based phases and exit gates · dates are indicative until R1 owners and access are confirmed</x:v>
      </x:c>
      <x:c r="G2" s="192" t="str">
        <x:v>Outcome-based phases and exit gates · dates are indicative until R1 owners and access are confirmed</x:v>
      </x:c>
      <x:c r="H2" s="192" t="str">
        <x:v>Outcome-based phases and exit gates · dates are indicative until R1 owners and access are confirmed</x:v>
      </x:c>
      <x:c r="I2" s="192" t="str">
        <x:v>Outcome-based phases and exit gates · dates are indicative until R1 owners and access are confirmed</x:v>
      </x:c>
      <x:c r="J2" s="192" t="str">
        <x:v>Outcome-based phases and exit gates · dates are indicative until R1 owners and access are confirmed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  <x:c r="J3" s="193"/>
    </x:row>
    <x:row r="4">
      <x:c r="A4" s="193"/>
      <x:c r="B4" s="193"/>
      <x:c r="C4" s="193"/>
      <x:c r="D4" s="193"/>
      <x:c r="E4" s="193"/>
      <x:c r="F4" s="193"/>
      <x:c r="G4" s="193"/>
      <x:c r="H4" s="193"/>
      <x:c r="I4" s="193"/>
      <x:c r="J4" s="193"/>
    </x:row>
    <x:row r="5" ht="30" customHeight="1">
      <x:c r="A5" s="224" t="str">
        <x:v>Phase</x:v>
      </x:c>
      <x:c r="B5" s="224" t="str">
        <x:v>Stage</x:v>
      </x:c>
      <x:c r="C5" s="224" t="str">
        <x:v>Start</x:v>
      </x:c>
      <x:c r="D5" s="224" t="str">
        <x:v>End</x:v>
      </x:c>
      <x:c r="E5" s="224" t="str">
        <x:v>Objective</x:v>
      </x:c>
      <x:c r="F5" s="224" t="str">
        <x:v>Capability bundle</x:v>
      </x:c>
      <x:c r="G5" s="224" t="str">
        <x:v>Exit Gate</x:v>
      </x:c>
      <x:c r="H5" s="224" t="str">
        <x:v>Commitment</x:v>
      </x:c>
      <x:c r="I5" s="224" t="str">
        <x:v>Status</x:v>
      </x:c>
      <x:c r="J5" s="224" t="str">
        <x:v>Business value</x:v>
      </x:c>
    </x:row>
    <x:row r="6">
      <x:c r="A6" s="158" t="str">
        <x:v>R0</x:v>
      </x:c>
      <x:c r="B6" s="158" t="str">
        <x:v>Verified Foundation</x:v>
      </x:c>
      <x:c r="C6" s="160" t="n">
        <x:v>46237</x:v>
      </x:c>
      <x:c r="D6" s="160" t="n">
        <x:v>46251</x:v>
      </x:c>
      <x:c r="E6" s="158" t="str">
        <x:v>Trusted data, deterministic Overviews and Preschool Layer 1-3</x:v>
      </x:c>
      <x:c r="F6" s="158" t="str">
        <x:v>Snapshot/Evidence, two project renderers, AI Analyst, Preschool A/B</x:v>
      </x:c>
      <x:c r="G6" s="158" t="str">
        <x:v>Engineering evidence exists; customer acceptance is separate</x:v>
      </x:c>
      <x:c r="H6" s="158" t="str">
        <x:v>Completed engineering baseline</x:v>
      </x:c>
      <x:c r="I6" s="158" t="str">
        <x:v>Engineering Verified</x:v>
      </x:c>
      <x:c r="J6" s="158" t="str">
        <x:v>Prove the product is more than a static dashboard</x:v>
      </x:c>
    </x:row>
    <x:row r="7">
      <x:c r="A7" s="161" t="str">
        <x:v>R1</x:v>
      </x:c>
      <x:c r="B7" s="161" t="str">
        <x:v>Acceptance Hardening</x:v>
      </x:c>
      <x:c r="C7" s="163" t="n">
        <x:v>46251</x:v>
      </x:c>
      <x:c r="D7" s="163" t="n">
        <x:v>46262</x:v>
      </x:c>
      <x:c r="E7" s="161" t="str">
        <x:v>Make the current product safe for Charles and Ngee reviewers</x:v>
      </x:c>
      <x:c r="F7" s="161" t="str">
        <x:v>Content quality, visual hierarchy, accounts, Admin traces, runbook</x:v>
      </x:c>
      <x:c r="G7" s="161" t="str">
        <x:v>Named users complete critical journeys with captured evidence</x:v>
      </x:c>
      <x:c r="H7" s="161" t="str">
        <x:v>Committed after owner confirmation</x:v>
      </x:c>
      <x:c r="I7" s="161" t="str">
        <x:v>In Progress</x:v>
      </x:c>
      <x:c r="J7" s="161" t="str">
        <x:v>Convert engineering output into customer trust</x:v>
      </x:c>
    </x:row>
    <x:row r="8">
      <x:c r="A8" s="161" t="str">
        <x:v>R2</x:v>
      </x:c>
      <x:c r="B8" s="161" t="str">
        <x:v>Cross-project AI</x:v>
      </x:c>
      <x:c r="C8" s="163" t="n">
        <x:v>46265</x:v>
      </x:c>
      <x:c r="D8" s="163" t="n">
        <x:v>46283</x:v>
      </x:c>
      <x:c r="E8" s="161" t="str">
        <x:v>Prove the AI lifecycle generalises beyond Preschool</x:v>
      </x:c>
      <x:c r="F8" s="161" t="str">
        <x:v>Ngee Layer 1-3 Adapter, real Provider, Saved restore, Ngee A/B</x:v>
      </x:c>
      <x:c r="G8" s="161" t="str">
        <x:v>Ngee normal open starts zero Provider; A/B changes honestly</x:v>
      </x:c>
      <x:c r="H8" s="161" t="str">
        <x:v>Conditional on R1 and Snapshot B</x:v>
      </x:c>
      <x:c r="I8" s="161" t="str">
        <x:v>Planned</x:v>
      </x:c>
      <x:c r="J8" s="161" t="str">
        <x:v>Show repeatability across different project structures</x:v>
      </x:c>
    </x:row>
    <x:row r="9">
      <x:c r="A9" s="161" t="str">
        <x:v>R3</x:v>
      </x:c>
      <x:c r="B9" s="161" t="str">
        <x:v>Learning Loop</x:v>
      </x:c>
      <x:c r="C9" s="163" t="n">
        <x:v>46286</x:v>
      </x:c>
      <x:c r="D9" s="163" t="n">
        <x:v>46304</x:v>
      </x:c>
      <x:c r="E9" s="161" t="str">
        <x:v>Turn useful Insights into reusable Methods and SOPs</x:v>
      </x:c>
      <x:c r="F9" s="161" t="str">
        <x:v>Usefulness events, Method proposals, approval, Harness policy</x:v>
      </x:c>
      <x:c r="G9" s="161" t="str">
        <x:v>At least one Insight becomes an approved reusable method</x:v>
      </x:c>
      <x:c r="H9" s="161" t="str">
        <x:v>Conditional on real customer feedback</x:v>
      </x:c>
      <x:c r="I9" s="161" t="str">
        <x:v>Planned</x:v>
      </x:c>
      <x:c r="J9" s="161" t="str">
        <x:v>Create a compounding expert-knowledge advantage</x:v>
      </x:c>
    </x:row>
    <x:row r="10">
      <x:c r="A10" s="161" t="str">
        <x:v>R4</x:v>
      </x:c>
      <x:c r="B10" s="161" t="str">
        <x:v>Pilot Scale</x:v>
      </x:c>
      <x:c r="C10" s="163" t="n">
        <x:v>46307</x:v>
      </x:c>
      <x:c r="D10" s="163" t="n">
        <x:v>46332</x:v>
      </x:c>
      <x:c r="E10" s="161" t="str">
        <x:v>Prepare productisation and the next controlled capability frontier</x:v>
      </x:c>
      <x:c r="F10" s="161" t="str">
        <x:v>Template proposals, visual canvas, Coding Agent spike, handover</x:v>
      </x:c>
      <x:c r="G10" s="161" t="str">
        <x:v>Pilot metrics and next release are approved; no autonomous publish</x:v>
      </x:c>
      <x:c r="H10" s="161" t="str">
        <x:v>Indicative, not a customer commitment</x:v>
      </x:c>
      <x:c r="I10" s="161" t="str">
        <x:v>Discovery</x:v>
      </x:c>
      <x:c r="J10" s="161" t="str">
        <x:v>Move from bespoke delivery to repeatable product growth</x:v>
      </x:c>
    </x:row>
    <x:row r="11">
      <x:c r="A11" s="193"/>
      <x:c r="B11" s="193"/>
      <x:c r="C11" s="193"/>
      <x:c r="D11" s="193"/>
      <x:c r="E11" s="193"/>
      <x:c r="F11" s="193"/>
      <x:c r="G11" s="193"/>
      <x:c r="H11" s="193"/>
      <x:c r="I11" s="193"/>
      <x:c r="J11" s="193"/>
    </x:row>
    <x:row r="12">
      <x:c r="A12" s="193"/>
      <x:c r="B12" s="193"/>
      <x:c r="C12" s="193"/>
      <x:c r="D12" s="193"/>
      <x:c r="E12" s="193"/>
      <x:c r="F12" s="193"/>
      <x:c r="G12" s="193"/>
      <x:c r="H12" s="193"/>
      <x:c r="I12" s="193"/>
      <x:c r="J12" s="193"/>
    </x:row>
    <x:row r="13">
      <x:c r="A13" s="193"/>
      <x:c r="B13" s="193"/>
      <x:c r="C13" s="193"/>
      <x:c r="D13" s="193"/>
      <x:c r="E13" s="193"/>
      <x:c r="F13" s="193"/>
      <x:c r="G13" s="193"/>
      <x:c r="H13" s="193"/>
      <x:c r="I13" s="193"/>
      <x:c r="J13" s="193"/>
    </x:row>
    <x:row r="14">
      <x:c r="A14" s="210" t="str">
        <x:v>TIMELINE VIEW</x:v>
      </x:c>
      <x:c r="B14" s="210"/>
      <x:c r="C14" s="210"/>
      <x:c r="D14" s="210"/>
      <x:c r="E14" s="210"/>
      <x:c r="F14" s="210"/>
      <x:c r="G14" s="210"/>
      <x:c r="H14" s="210"/>
      <x:c r="I14" s="210"/>
      <x:c r="J14" s="210"/>
    </x:row>
    <x:row r="15" ht="30" customHeight="1">
      <x:c r="A15" s="224" t="str">
        <x:v>Phase</x:v>
      </x:c>
      <x:c r="B15" s="224" t="str">
        <x:v>17 Aug</x:v>
      </x:c>
      <x:c r="C15" s="224" t="str">
        <x:v>31 Aug</x:v>
      </x:c>
      <x:c r="D15" s="224" t="str">
        <x:v>21 Sep</x:v>
      </x:c>
      <x:c r="E15" s="224" t="str">
        <x:v>12 Oct</x:v>
      </x:c>
      <x:c r="F15" s="224" t="str">
        <x:v>2 Nov</x:v>
      </x:c>
      <x:c r="G15" s="193"/>
      <x:c r="H15" s="193"/>
      <x:c r="I15" s="193"/>
      <x:c r="J15" s="193"/>
    </x:row>
    <x:row r="16">
      <x:c r="A16" s="158" t="str">
        <x:v>R1 Acceptance</x:v>
      </x:c>
      <x:c r="B16" s="226" t="str">
        <x:v>●</x:v>
      </x:c>
      <x:c r="C16" s="226" t="str"/>
      <x:c r="D16" s="226" t="str"/>
      <x:c r="E16" s="226" t="str"/>
      <x:c r="F16" s="226" t="str"/>
      <x:c r="G16" s="193"/>
      <x:c r="H16" s="193"/>
      <x:c r="I16" s="193"/>
      <x:c r="J16" s="193"/>
    </x:row>
    <x:row r="17">
      <x:c r="A17" s="161" t="str">
        <x:v>R2 Cross-project AI</x:v>
      </x:c>
      <x:c r="B17" s="226" t="str"/>
      <x:c r="C17" s="226" t="str">
        <x:v>●</x:v>
      </x:c>
      <x:c r="D17" s="226" t="str"/>
      <x:c r="E17" s="226" t="str"/>
      <x:c r="F17" s="226" t="str"/>
      <x:c r="G17" s="193"/>
      <x:c r="H17" s="193"/>
      <x:c r="I17" s="193"/>
      <x:c r="J17" s="193"/>
    </x:row>
    <x:row r="18">
      <x:c r="A18" s="161" t="str">
        <x:v>R3 Learning Loop</x:v>
      </x:c>
      <x:c r="B18" s="226" t="str"/>
      <x:c r="C18" s="226" t="str"/>
      <x:c r="D18" s="226" t="str">
        <x:v>●</x:v>
      </x:c>
      <x:c r="E18" s="226" t="str"/>
      <x:c r="F18" s="226" t="str"/>
      <x:c r="G18" s="193"/>
      <x:c r="H18" s="193"/>
      <x:c r="I18" s="193"/>
      <x:c r="J18" s="193"/>
    </x:row>
    <x:row r="19">
      <x:c r="A19" s="161" t="str">
        <x:v>R4 Pilot Scale</x:v>
      </x:c>
      <x:c r="B19" s="226" t="str"/>
      <x:c r="C19" s="226" t="str"/>
      <x:c r="D19" s="226" t="str"/>
      <x:c r="E19" s="226" t="str">
        <x:v>●</x:v>
      </x:c>
      <x:c r="F19" s="226" t="str">
        <x:v>●</x:v>
      </x:c>
      <x:c r="G19" s="193"/>
      <x:c r="H19" s="193"/>
      <x:c r="I19" s="193"/>
      <x:c r="J19" s="193"/>
    </x:row>
  </x:sheetData>
  <x:mergeCells>
    <x:mergeCell ref="A1:J1"/>
    <x:mergeCell ref="A2:J2"/>
    <x:mergeCell ref="A14:J14"/>
  </x:mergeCells>
  <x:conditionalFormatting sqref="I6:I10">
    <x:cfRule type="containsText" dxfId="22" priority="1" operator="containsText" text="Engineering Verified"/>
    <x:cfRule type="containsText" dxfId="23" priority="2" operator="containsText" text="Acceptance Pending"/>
    <x:cfRule type="containsText" dxfId="24" priority="3" operator="containsText" text="In Progress"/>
    <x:cfRule type="containsText" dxfId="25" priority="4" operator="containsText" text="Planned"/>
    <x:cfRule type="containsText" dxfId="26" priority="5" operator="containsText" text="Discovery"/>
    <x:cfRule type="containsText" dxfId="27" priority="6" operator="containsText" text="Blocked"/>
  </x:conditionalFormatting>
  <x:dataValidations count="1">
    <x:dataValidation type="list" sqref="I6:I10">
      <x:formula1>"Engineering Verified,Acceptance Pending,In Progress,Planned,Discovery,Blocked"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e9f3100e24a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48" hidden="0" customWidth="1"/>
    <x:col min="5" max="5" width="30" hidden="0" customWidth="1"/>
    <x:col min="6" max="6" width="26" hidden="0" customWidth="1"/>
  </x:cols>
  <x:sheetData>
    <x:row r="1" ht="34" customHeight="1">
      <x:c r="A1" s="191" t="str">
        <x:v>EnergyIQ Product Map</x:v>
      </x:c>
      <x:c r="B1" s="191" t="str">
        <x:v>EnergyIQ Product Map</x:v>
      </x:c>
      <x:c r="C1" s="191" t="str">
        <x:v>EnergyIQ Product Map</x:v>
      </x:c>
      <x:c r="D1" s="191" t="str">
        <x:v>EnergyIQ Product Map</x:v>
      </x:c>
      <x:c r="E1" s="191" t="str">
        <x:v>EnergyIQ Product Map</x:v>
      </x:c>
      <x:c r="F1" s="191" t="str">
        <x:v>EnergyIQ Product Map</x:v>
      </x:c>
    </x:row>
    <x:row r="2" ht="28" customHeight="1">
      <x:c r="A2" s="192" t="str">
        <x:v>The product turns trusted utility data into decisions, deeper analysis and reusable expert methods</x:v>
      </x:c>
      <x:c r="B2" s="192" t="str">
        <x:v>The product turns trusted utility data into decisions, deeper analysis and reusable expert methods</x:v>
      </x:c>
      <x:c r="C2" s="192" t="str">
        <x:v>The product turns trusted utility data into decisions, deeper analysis and reusable expert methods</x:v>
      </x:c>
      <x:c r="D2" s="192" t="str">
        <x:v>The product turns trusted utility data into decisions, deeper analysis and reusable expert methods</x:v>
      </x:c>
      <x:c r="E2" s="192" t="str">
        <x:v>The product turns trusted utility data into decisions, deeper analysis and reusable expert methods</x:v>
      </x:c>
      <x:c r="F2" s="192" t="str">
        <x:v>The product turns trusted utility data into decisions, deeper analysis and reusable expert methods</x:v>
      </x:c>
    </x:row>
    <x:row r="3">
      <x:c r="A3" s="193"/>
      <x:c r="B3" s="193"/>
      <x:c r="C3" s="193"/>
      <x:c r="D3" s="193"/>
      <x:c r="E3" s="193"/>
      <x:c r="F3" s="193"/>
    </x:row>
    <x:row r="4">
      <x:c r="A4" s="193"/>
      <x:c r="B4" s="193"/>
      <x:c r="C4" s="193"/>
      <x:c r="D4" s="193"/>
      <x:c r="E4" s="193"/>
      <x:c r="F4" s="193"/>
    </x:row>
    <x:row r="5" ht="30" customHeight="1">
      <x:c r="A5" s="224" t="str">
        <x:v>Step</x:v>
      </x:c>
      <x:c r="B5" s="224" t="str">
        <x:v>Layer</x:v>
      </x:c>
      <x:c r="C5" s="224" t="str">
        <x:v>Input</x:v>
      </x:c>
      <x:c r="D5" s="224" t="str">
        <x:v>What the product does</x:v>
      </x:c>
      <x:c r="E5" s="224" t="str">
        <x:v>Customer-facing output</x:v>
      </x:c>
      <x:c r="F5" s="224" t="str">
        <x:v>Value</x:v>
      </x:c>
    </x:row>
    <x:row r="6">
      <x:c r="A6" s="230" t="str">
        <x:v>1</x:v>
      </x:c>
      <x:c r="B6" s="228" t="str">
        <x:v>Data Foundation</x:v>
      </x:c>
      <x:c r="C6" s="158" t="str">
        <x:v>Excel / Tuya / Meter data</x:v>
      </x:c>
      <x:c r="D6" s="158" t="str">
        <x:v>Normalize, validate and bind exact time/scope</x:v>
      </x:c>
      <x:c r="E6" s="158" t="str">
        <x:v>Snapshot + Evidence Catalog</x:v>
      </x:c>
      <x:c r="F6" s="158" t="str">
        <x:v>Trusted facts</x:v>
      </x:c>
    </x:row>
    <x:row r="7">
      <x:c r="A7" s="230" t="str">
        <x:v>2</x:v>
      </x:c>
      <x:c r="B7" s="229" t="str">
        <x:v>Deterministic Experience</x:v>
      </x:c>
      <x:c r="C7" s="161" t="str">
        <x:v>Published Snapshot</x:v>
      </x:c>
      <x:c r="D7" s="161" t="str">
        <x:v>Render project-specific metrics, charts and alerts</x:v>
      </x:c>
      <x:c r="E7" s="161" t="str">
        <x:v>Overview + Explorer</x:v>
      </x:c>
      <x:c r="F7" s="161" t="str">
        <x:v>See and verify</x:v>
      </x:c>
    </x:row>
    <x:row r="8">
      <x:c r="A8" s="230" t="str">
        <x:v>3</x:v>
      </x:c>
      <x:c r="B8" s="229" t="str">
        <x:v>AI Layer 1</x:v>
      </x:c>
      <x:c r="C8" s="161" t="str">
        <x:v>Accepted Section Artifacts</x:v>
      </x:c>
      <x:c r="D8" s="161" t="str">
        <x:v>Synthesize cross-section priorities</x:v>
      </x:c>
      <x:c r="E8" s="161" t="str">
        <x:v>Key Findings</x:v>
      </x:c>
      <x:c r="F8" s="161" t="str">
        <x:v>Understand quickly</x:v>
      </x:c>
    </x:row>
    <x:row r="9">
      <x:c r="A9" s="230" t="str">
        <x:v>4</x:v>
      </x:c>
      <x:c r="B9" s="229" t="str">
        <x:v>AI Layer 2</x:v>
      </x:c>
      <x:c r="C9" s="161" t="str">
        <x:v>Section Pack + Evidence</x:v>
      </x:c>
      <x:c r="D9" s="161" t="str">
        <x:v>Explain patterns and worthwhile angles</x:v>
      </x:c>
      <x:c r="E9" s="161" t="str">
        <x:v>Section Interpretation</x:v>
      </x:c>
      <x:c r="F9" s="161" t="str">
        <x:v>Think more deeply</x:v>
      </x:c>
    </x:row>
    <x:row r="10">
      <x:c r="A10" s="230" t="str">
        <x:v>5</x:v>
      </x:c>
      <x:c r="B10" s="229" t="str">
        <x:v>AI Layer 3</x:v>
      </x:c>
      <x:c r="C10" s="161" t="str">
        <x:v>Cross-section facts + Methods</x:v>
      </x:c>
      <x:c r="D10" s="161" t="str">
        <x:v>Discover additional hypotheses, alerts and SOP angles</x:v>
      </x:c>
      <x:c r="E10" s="161" t="str">
        <x:v>Additional AI Insights</x:v>
      </x:c>
      <x:c r="F10" s="161" t="str">
        <x:v>Discover the non-obvious</x:v>
      </x:c>
    </x:row>
    <x:row r="11">
      <x:c r="A11" s="230" t="str">
        <x:v>6</x:v>
      </x:c>
      <x:c r="B11" s="229" t="str">
        <x:v>AI Analyst</x:v>
      </x:c>
      <x:c r="C11" s="161" t="str">
        <x:v>Selected Finding + exact project context</x:v>
      </x:c>
      <x:c r="D11" s="161" t="str">
        <x:v>Query, compare, test and build a decision narrative</x:v>
      </x:c>
      <x:c r="E11" s="161" t="str">
        <x:v>Analysis + report</x:v>
      </x:c>
      <x:c r="F11" s="161" t="str">
        <x:v>Investigate and decide</x:v>
      </x:c>
    </x:row>
    <x:row r="12">
      <x:c r="A12" s="230" t="str">
        <x:v>7</x:v>
      </x:c>
      <x:c r="B12" s="229" t="str">
        <x:v>Learning Loop</x:v>
      </x:c>
      <x:c r="C12" s="161" t="str">
        <x:v>User feedback + approved Insights</x:v>
      </x:c>
      <x:c r="D12" s="161" t="str">
        <x:v>Propose, review and publish reusable Methods/SOPs</x:v>
      </x:c>
      <x:c r="E12" s="161" t="str">
        <x:v>Method Library</x:v>
      </x:c>
      <x:c r="F12" s="161" t="str">
        <x:v>Reuse expertise</x:v>
      </x:c>
    </x:row>
    <x:row r="13">
      <x:c r="A13" s="230" t="str">
        <x:v>8</x:v>
      </x:c>
      <x:c r="B13" s="229" t="str">
        <x:v>Coding Agent</x:v>
      </x:c>
      <x:c r="C13" s="161" t="str">
        <x:v>Approved user requirement</x:v>
      </x:c>
      <x:c r="D13" s="161" t="str">
        <x:v>Generate reviewable software/template proposals</x:v>
      </x:c>
      <x:c r="E13" s="161" t="str">
        <x:v>Rerunnable capability</x:v>
      </x:c>
      <x:c r="F13" s="161" t="str">
        <x:v>Scale customisation</x:v>
      </x:c>
    </x:row>
    <x:row r="14">
      <x:c r="A14" s="230" t="str">
        <x:v>X</x:v>
      </x:c>
      <x:c r="B14" s="229" t="str">
        <x:v>Cross-cutting Control Plane</x:v>
      </x:c>
      <x:c r="C14" s="161" t="str">
        <x:v>Workspace, Project, model, tools and policies</x:v>
      </x:c>
      <x:c r="D14" s="161" t="str">
        <x:v>Identity, access, Run trace, Artifact restore and approval</x:v>
      </x:c>
      <x:c r="E14" s="161" t="str">
        <x:v>Admin Harness + AI Operations</x:v>
      </x:c>
      <x:c r="F14" s="161" t="str">
        <x:v>Trust and governance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28623dc70254a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58" hidden="0" customWidth="1"/>
    <x:col min="4" max="4" width="24" hidden="0" customWidth="1"/>
  </x:cols>
  <x:sheetData>
    <x:row r="1" ht="34" customHeight="1">
      <x:c r="A1" s="191" t="str">
        <x:v>EnergyIQ Technical Architecture</x:v>
      </x:c>
      <x:c r="B1" s="191" t="str">
        <x:v>EnergyIQ Technical Architecture</x:v>
      </x:c>
      <x:c r="C1" s="191" t="str">
        <x:v>EnergyIQ Technical Architecture</x:v>
      </x:c>
      <x:c r="D1" s="191" t="str">
        <x:v>EnergyIQ Technical Architecture</x:v>
      </x:c>
    </x:row>
    <x:row r="2" ht="28" customHeight="1">
      <x:c r="A2" s="192" t="str">
        <x:v>Actual target architecture: project-specific expression over a shared trusted data and governed AI control plane</x:v>
      </x:c>
      <x:c r="B2" s="192" t="str">
        <x:v>Actual target architecture: project-specific expression over a shared trusted data and governed AI control plane</x:v>
      </x:c>
      <x:c r="C2" s="192" t="str">
        <x:v>Actual target architecture: project-specific expression over a shared trusted data and governed AI control plane</x:v>
      </x:c>
      <x:c r="D2" s="192" t="str">
        <x:v>Actual target architecture: project-specific expression over a shared trusted data and governed AI control plane</x:v>
      </x:c>
    </x:row>
    <x:row r="3">
      <x:c r="A3" s="193"/>
      <x:c r="B3" s="193"/>
      <x:c r="C3" s="193"/>
      <x:c r="D3" s="193"/>
    </x:row>
    <x:row r="4">
      <x:c r="A4" s="193"/>
      <x:c r="B4" s="193"/>
      <x:c r="C4" s="193"/>
      <x:c r="D4" s="193"/>
    </x:row>
    <x:row r="5" ht="30" customHeight="1">
      <x:c r="A5" s="224" t="str">
        <x:v>Layer</x:v>
      </x:c>
      <x:c r="B5" s="224" t="str">
        <x:v>Components</x:v>
      </x:c>
      <x:c r="C5" s="224" t="str">
        <x:v>Responsibility / Boundary</x:v>
      </x:c>
      <x:c r="D5" s="224" t="str">
        <x:v>Primary owner</x:v>
      </x:c>
    </x:row>
    <x:row r="6">
      <x:c r="A6" s="231" t="str">
        <x:v>Experience</x:v>
      </x:c>
      <x:c r="B6" s="232" t="str">
        <x:v>Overview; Project Explorer; AI Analyst; Admin; Reports</x:v>
      </x:c>
      <x:c r="C6" s="232" t="str">
        <x:v>Role-scoped decisions, drill-down and governance</x:v>
      </x:c>
      <x:c r="D6" s="232" t="str">
        <x:v>Customer / Admin</x:v>
      </x:c>
    </x:row>
    <x:row r="7">
      <x:c r="A7" s="233" t="str">
        <x:v>Project Product</x:v>
      </x:c>
      <x:c r="B7" s="234" t="str">
        <x:v>Renderer Registry; Project Recipe; Template Release; A/B Change Summary</x:v>
      </x:c>
      <x:c r="C7" s="234" t="str">
        <x:v>Project-specific expression without hard-coded platform forks</x:v>
      </x:c>
      <x:c r="D7" s="234" t="str">
        <x:v>Product</x:v>
      </x:c>
    </x:row>
    <x:row r="8">
      <x:c r="A8" s="235" t="str">
        <x:v>Governed AI</x:v>
      </x:c>
      <x:c r="B8" s="236" t="str">
        <x:v>Key Findings; Section Interpretation; Additional Insights; AI Analysis</x:v>
      </x:c>
      <x:c r="C8" s="236" t="str">
        <x:v>Facts, inference and speculative angles remain distinguishable</x:v>
      </x:c>
      <x:c r="D8" s="236" t="str">
        <x:v>AI Platform + Energy</x:v>
      </x:c>
    </x:row>
    <x:row r="9">
      <x:c r="A9" s="237" t="str">
        <x:v>Harness</x:v>
      </x:c>
      <x:c r="B9" s="238" t="str">
        <x:v>Model Profile; Skill; Method; Tool; Context policy; Run Finalizer</x:v>
      </x:c>
      <x:c r="C9" s="238" t="str">
        <x:v>Server-owned capability boundary and reproducible execution</x:v>
      </x:c>
      <x:c r="D9" s="238" t="str">
        <x:v>AI Platform</x:v>
      </x:c>
    </x:row>
    <x:row r="10">
      <x:c r="A10" s="239" t="str">
        <x:v>Analysis Contracts</x:v>
      </x:c>
      <x:c r="B10" s="240" t="str">
        <x:v>Section Pack; Analysis Pack; Evidence Catalog; Read Models</x:v>
      </x:c>
      <x:c r="C10" s="240" t="str">
        <x:v>Complete project facts and explicit missing evidence</x:v>
      </x:c>
      <x:c r="D10" s="240" t="str">
        <x:v>Data + Domain</x:v>
      </x:c>
    </x:row>
    <x:row r="11">
      <x:c r="A11" s="233" t="str">
        <x:v>Data Foundation</x:v>
      </x:c>
      <x:c r="B11" s="234" t="str">
        <x:v>Import Batch; Raw Reading; Interval Fact; Metric/Rule revisions; Snapshot</x:v>
      </x:c>
      <x:c r="C11" s="234" t="str">
        <x:v>Deterministic, traceable utility facts</x:v>
      </x:c>
      <x:c r="D11" s="234" t="str">
        <x:v>Data</x:v>
      </x:c>
    </x:row>
    <x:row r="12">
      <x:c r="A12" s="237" t="str">
        <x:v>Persistence</x:v>
      </x:c>
      <x:c r="B12" s="238" t="str">
        <x:v>Metadata; Artifact Store; Saved Analysis; Run/Event trace</x:v>
      </x:c>
      <x:c r="C12" s="238" t="str">
        <x:v>Exact identity, restore, audit and A/B isolation</x:v>
      </x:c>
      <x:c r="D12" s="238" t="str">
        <x:v>Platform</x:v>
      </x:c>
    </x:row>
    <x:row r="13">
      <x:c r="A13" s="235" t="str">
        <x:v>Cross-cutting</x:v>
      </x:c>
      <x:c r="B13" s="236" t="str">
        <x:v>Workspace/Project isolation; auth; secrets; observability; backup</x:v>
      </x:c>
      <x:c r="C13" s="236" t="str">
        <x:v>Multi-tenant safety and operability</x:v>
      </x:c>
      <x:c r="D13" s="236" t="str">
        <x:v>Platform + Ops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38" hidden="0" customWidth="1"/>
    <x:col min="5" max="5" width="42" hidden="0" customWidth="1"/>
    <x:col min="6" max="6" width="36" hidden="0" customWidth="1"/>
    <x:col min="7" max="7" width="34" hidden="0" customWidth="1"/>
  </x:cols>
  <x:sheetData>
    <x:row r="1" ht="34" customHeight="1">
      <x:c r="A1" s="191" t="str">
        <x:v>EnergyIQ Business Route</x:v>
      </x:c>
      <x:c r="B1" s="191" t="str">
        <x:v>EnergyIQ Business Route</x:v>
      </x:c>
      <x:c r="C1" s="191" t="str">
        <x:v>EnergyIQ Business Route</x:v>
      </x:c>
      <x:c r="D1" s="191" t="str">
        <x:v>EnergyIQ Business Route</x:v>
      </x:c>
      <x:c r="E1" s="191" t="str">
        <x:v>EnergyIQ Business Route</x:v>
      </x:c>
      <x:c r="F1" s="191" t="str">
        <x:v>EnergyIQ Business Route</x:v>
      </x:c>
      <x:c r="G1" s="191" t="str">
        <x:v>EnergyIQ Business Route</x:v>
      </x:c>
    </x:row>
    <x:row r="2" ht="28" customHeight="1">
      <x:c r="A2" s="192" t="str">
        <x:v>Commercial hypothesis for validation · not yet an approved price list or customer commitment</x:v>
      </x:c>
      <x:c r="B2" s="192" t="str">
        <x:v>Commercial hypothesis for validation · not yet an approved price list or customer commitment</x:v>
      </x:c>
      <x:c r="C2" s="192" t="str">
        <x:v>Commercial hypothesis for validation · not yet an approved price list or customer commitment</x:v>
      </x:c>
      <x:c r="D2" s="192" t="str">
        <x:v>Commercial hypothesis for validation · not yet an approved price list or customer commitment</x:v>
      </x:c>
      <x:c r="E2" s="192" t="str">
        <x:v>Commercial hypothesis for validation · not yet an approved price list or customer commitment</x:v>
      </x:c>
      <x:c r="F2" s="192" t="str">
        <x:v>Commercial hypothesis for validation · not yet an approved price list or customer commitment</x:v>
      </x:c>
      <x:c r="G2" s="192" t="str">
        <x:v>Commercial hypothesis for validation · not yet an approved price list or customer commitment</x:v>
      </x:c>
    </x:row>
    <x:row r="3">
      <x:c r="A3" s="193"/>
      <x:c r="B3" s="193"/>
      <x:c r="C3" s="193"/>
      <x:c r="D3" s="193"/>
      <x:c r="E3" s="193"/>
      <x:c r="F3" s="193"/>
      <x:c r="G3" s="193"/>
    </x:row>
    <x:row r="4">
      <x:c r="A4" s="193"/>
      <x:c r="B4" s="193"/>
      <x:c r="C4" s="193"/>
      <x:c r="D4" s="193"/>
      <x:c r="E4" s="193"/>
      <x:c r="F4" s="193"/>
      <x:c r="G4" s="193"/>
    </x:row>
    <x:row r="5" ht="30" customHeight="1">
      <x:c r="A5" s="224" t="str">
        <x:v>Stage</x:v>
      </x:c>
      <x:c r="B5" s="224" t="str">
        <x:v>Offer</x:v>
      </x:c>
      <x:c r="C5" s="224" t="str">
        <x:v>Buyer / User</x:v>
      </x:c>
      <x:c r="D5" s="224" t="str">
        <x:v>Customer pain</x:v>
      </x:c>
      <x:c r="E5" s="224" t="str">
        <x:v>EnergyIQ delivery</x:v>
      </x:c>
      <x:c r="F5" s="224" t="str">
        <x:v>Proof of value</x:v>
      </x:c>
      <x:c r="G5" s="224" t="str">
        <x:v>Commercial hypothesis</x:v>
      </x:c>
    </x:row>
    <x:row r="6">
      <x:c r="A6" s="230" t="str">
        <x:v>1</x:v>
      </x:c>
      <x:c r="B6" s="158" t="str">
        <x:v>Diagnostic Demo</x:v>
      </x:c>
      <x:c r="C6" s="158" t="str">
        <x:v>FM / Energy manager</x:v>
      </x:c>
      <x:c r="D6" s="158" t="str">
        <x:v>Data exists but priorities are unclear</x:v>
      </x:c>
      <x:c r="E6" s="158" t="str">
        <x:v>One project Snapshot, Overview and 3-5 decision findings</x:v>
      </x:c>
      <x:c r="F6" s="158" t="str">
        <x:v>User agrees the findings are worth investigating</x:v>
      </x:c>
      <x:c r="G6" s="158" t="str">
        <x:v>Fixed-scope paid assessment</x:v>
      </x:c>
    </x:row>
    <x:row r="7">
      <x:c r="A7" s="230" t="str">
        <x:v>2</x:v>
      </x:c>
      <x:c r="B7" s="161" t="str">
        <x:v>Pilot</x:v>
      </x:c>
      <x:c r="C7" s="161" t="str">
        <x:v>Facilities team + Sponsor</x:v>
      </x:c>
      <x:c r="D7" s="161" t="str">
        <x:v>Analysis is manual and difficult to repeat</x:v>
      </x:c>
      <x:c r="E7" s="161" t="str">
        <x:v>Overview, Layer 1-3, AI Analyst, accounts and A/B</x:v>
      </x:c>
      <x:c r="F7" s="161" t="str">
        <x:v>Repeated use across two data updates</x:v>
      </x:c>
      <x:c r="G7" s="161" t="str">
        <x:v>Project subscription + onboarding</x:v>
      </x:c>
    </x:row>
    <x:row r="8">
      <x:c r="A8" s="230" t="str">
        <x:v>3</x:v>
      </x:c>
      <x:c r="B8" s="161" t="str">
        <x:v>Multi-project Rollout</x:v>
      </x:c>
      <x:c r="C8" s="161" t="str">
        <x:v>Portfolio owner</x:v>
      </x:c>
      <x:c r="D8" s="161" t="str">
        <x:v>Different sites need consistent governance but different analysis</x:v>
      </x:c>
      <x:c r="E8" s="161" t="str">
        <x:v>Shared platform plus project-specific Packs/Renderers</x:v>
      </x:c>
      <x:c r="F8" s="161" t="str">
        <x:v>Additional projects onboard without platform fork</x:v>
      </x:c>
      <x:c r="G8" s="161" t="str">
        <x:v>Per-project / portfolio subscription</x:v>
      </x:c>
    </x:row>
    <x:row r="9">
      <x:c r="A9" s="230" t="str">
        <x:v>4</x:v>
      </x:c>
      <x:c r="B9" s="161" t="str">
        <x:v>Expert Intelligence</x:v>
      </x:c>
      <x:c r="C9" s="161" t="str">
        <x:v>Energy consultant / sophisticated FM</x:v>
      </x:c>
      <x:c r="D9" s="161" t="str">
        <x:v>High-value know-how is trapped in individuals</x:v>
      </x:c>
      <x:c r="E9" s="161" t="str">
        <x:v>Method/SOP Library, feedback and governed publication</x:v>
      </x:c>
      <x:c r="F9" s="161" t="str">
        <x:v>Useful Methods recur across projects</x:v>
      </x:c>
      <x:c r="G9" s="161" t="str">
        <x:v>Professional intelligence add-on</x:v>
      </x:c>
    </x:row>
    <x:row r="10">
      <x:c r="A10" s="230" t="str">
        <x:v>5</x:v>
      </x:c>
      <x:c r="B10" s="161" t="str">
        <x:v>Enterprise</x:v>
      </x:c>
      <x:c r="C10" s="161" t="str">
        <x:v>Large owner / partner</x:v>
      </x:c>
      <x:c r="D10" s="161" t="str">
        <x:v>Governance, traceability and integrations become critical</x:v>
      </x:c>
      <x:c r="E10" s="161" t="str">
        <x:v>Admin Harness, AI Operations, policy revisions and APIs</x:v>
      </x:c>
      <x:c r="F10" s="161" t="str">
        <x:v>Audit and operating requirements accepted</x:v>
      </x:c>
      <x:c r="G10" s="161" t="str">
        <x:v>Enterprise plan and services</x:v>
      </x:c>
    </x:row>
    <x:row r="11">
      <x:c r="A11" s="193"/>
      <x:c r="B11" s="193"/>
      <x:c r="C11" s="193"/>
      <x:c r="D11" s="193"/>
      <x:c r="E11" s="193"/>
      <x:c r="F11" s="193"/>
      <x:c r="G11" s="193"/>
    </x:row>
    <x:row r="12">
      <x:c r="A12" s="193"/>
      <x:c r="B12" s="193"/>
      <x:c r="C12" s="193"/>
      <x:c r="D12" s="193"/>
      <x:c r="E12" s="193"/>
      <x:c r="F12" s="193"/>
      <x:c r="G12" s="193"/>
    </x:row>
    <x:row r="13">
      <x:c r="A13" s="193"/>
      <x:c r="B13" s="193"/>
      <x:c r="C13" s="193"/>
      <x:c r="D13" s="193"/>
      <x:c r="E13" s="193"/>
      <x:c r="F13" s="193"/>
      <x:c r="G13" s="193"/>
    </x:row>
    <x:row r="14">
      <x:c r="A14" s="210" t="str">
        <x:v>SELLING STORY</x:v>
      </x:c>
      <x:c r="B14" s="210"/>
      <x:c r="C14" s="210"/>
      <x:c r="D14" s="210"/>
      <x:c r="E14" s="210"/>
      <x:c r="F14" s="210"/>
      <x:c r="G14" s="210"/>
    </x:row>
    <x:row r="15">
      <x:c r="A15" s="215" t="str">
        <x:v>1</x:v>
      </x:c>
      <x:c r="B15" s="158" t="str">
        <x:v>Start with real customer data</x:v>
      </x:c>
      <x:c r="C15" s="158" t="str"/>
      <x:c r="D15" s="158" t="str">
        <x:v>Show a trusted diagnostic, not a generic AI demo</x:v>
      </x:c>
      <x:c r="E15" s="158" t="str"/>
      <x:c r="F15" s="158" t="str"/>
      <x:c r="G15" s="158" t="str"/>
    </x:row>
    <x:row r="16">
      <x:c r="A16" s="215" t="str">
        <x:v>2</x:v>
      </x:c>
      <x:c r="B16" s="161" t="str">
        <x:v>Prove repeatability</x:v>
      </x:c>
      <x:c r="C16" s="161" t="str"/>
      <x:c r="D16" s="161" t="str">
        <x:v>Use A→B to show the product changes when the data changes</x:v>
      </x:c>
      <x:c r="E16" s="161" t="str"/>
      <x:c r="F16" s="161" t="str"/>
      <x:c r="G16" s="161" t="str"/>
    </x:row>
    <x:row r="17">
      <x:c r="A17" s="215" t="str">
        <x:v>3</x:v>
      </x:c>
      <x:c r="B17" s="161" t="str">
        <x:v>Expand across projects</x:v>
      </x:c>
      <x:c r="C17" s="161" t="str"/>
      <x:c r="D17" s="161" t="str">
        <x:v>Reuse the platform while preserving project-specific Packs and Renderers</x:v>
      </x:c>
      <x:c r="E17" s="161" t="str"/>
      <x:c r="F17" s="161" t="str"/>
      <x:c r="G17" s="161" t="str"/>
    </x:row>
    <x:row r="18">
      <x:c r="A18" s="215" t="str">
        <x:v>4</x:v>
      </x:c>
      <x:c r="B18" s="161" t="str">
        <x:v>Compound expertise</x:v>
      </x:c>
      <x:c r="C18" s="161" t="str"/>
      <x:c r="D18" s="161" t="str">
        <x:v>Turn useful Insights into approved Methods/SOPs</x:v>
      </x:c>
      <x:c r="E18" s="161" t="str"/>
      <x:c r="F18" s="161" t="str"/>
      <x:c r="G18" s="161" t="str"/>
    </x:row>
  </x:sheetData>
  <x:mergeCells>
    <x:mergeCell ref="A1:G1"/>
    <x:mergeCell ref="A2:G2"/>
    <x:mergeCell ref="A14:G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44" hidden="0" customWidth="1"/>
    <x:col min="5" max="5" width="42" hidden="0" customWidth="1"/>
    <x:col min="6" max="6" width="12" hidden="0" customWidth="1"/>
    <x:col min="7" max="7" width="18" hidden="0" customWidth="1"/>
    <x:col min="8" max="8" width="13" hidden="0" customWidth="1"/>
    <x:col min="9" max="9" width="14" hidden="0" customWidth="1"/>
    <x:col min="10" max="10" width="46" hidden="0" customWidth="1"/>
    <x:col min="11" max="11" width="38" hidden="0" customWidth="1"/>
  </x:cols>
  <x:sheetData>
    <x:row r="1" ht="34" customHeight="1">
      <x:c r="A1" s="191" t="str">
        <x:v>RAID &amp; Decision Log</x:v>
      </x:c>
      <x:c r="B1" s="191" t="str">
        <x:v>RAID &amp; Decision Log</x:v>
      </x:c>
      <x:c r="C1" s="191" t="str">
        <x:v>RAID &amp; Decision Log</x:v>
      </x:c>
      <x:c r="D1" s="191" t="str">
        <x:v>RAID &amp; Decision Log</x:v>
      </x:c>
      <x:c r="E1" s="191" t="str">
        <x:v>RAID &amp; Decision Log</x:v>
      </x:c>
      <x:c r="F1" s="191" t="str">
        <x:v>RAID &amp; Decision Log</x:v>
      </x:c>
      <x:c r="G1" s="191" t="str">
        <x:v>RAID &amp; Decision Log</x:v>
      </x:c>
      <x:c r="H1" s="191" t="str">
        <x:v>RAID &amp; Decision Log</x:v>
      </x:c>
      <x:c r="I1" s="191" t="str">
        <x:v>RAID &amp; Decision Log</x:v>
      </x:c>
      <x:c r="J1" s="191" t="str">
        <x:v>RAID &amp; Decision Log</x:v>
      </x:c>
      <x:c r="K1" s="191" t="str">
        <x:v>RAID &amp; Decision Log</x:v>
      </x:c>
    </x:row>
    <x:row r="2" ht="28" customHeight="1">
      <x:c r="A2" s="192" t="str">
        <x:v>Every risk, assumption and decision has an owner, due date, action and escalation trigger</x:v>
      </x:c>
      <x:c r="B2" s="192" t="str">
        <x:v>Every risk, assumption and decision has an owner, due date, action and escalation trigger</x:v>
      </x:c>
      <x:c r="C2" s="192" t="str">
        <x:v>Every risk, assumption and decision has an owner, due date, action and escalation trigger</x:v>
      </x:c>
      <x:c r="D2" s="192" t="str">
        <x:v>Every risk, assumption and decision has an owner, due date, action and escalation trigger</x:v>
      </x:c>
      <x:c r="E2" s="192" t="str">
        <x:v>Every risk, assumption and decision has an owner, due date, action and escalation trigger</x:v>
      </x:c>
      <x:c r="F2" s="192" t="str">
        <x:v>Every risk, assumption and decision has an owner, due date, action and escalation trigger</x:v>
      </x:c>
      <x:c r="G2" s="192" t="str">
        <x:v>Every risk, assumption and decision has an owner, due date, action and escalation trigger</x:v>
      </x:c>
      <x:c r="H2" s="192" t="str">
        <x:v>Every risk, assumption and decision has an owner, due date, action and escalation trigger</x:v>
      </x:c>
      <x:c r="I2" s="192" t="str">
        <x:v>Every risk, assumption and decision has an owner, due date, action and escalation trigger</x:v>
      </x:c>
      <x:c r="J2" s="192" t="str">
        <x:v>Every risk, assumption and decision has an owner, due date, action and escalation trigger</x:v>
      </x:c>
      <x:c r="K2" s="192" t="str">
        <x:v>Every risk, assumption and decision has an owner, due date, action and escalation trigger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  <x:c r="J3" s="193"/>
      <x:c r="K3" s="193"/>
    </x:row>
    <x:row r="4">
      <x:c r="A4" s="193"/>
      <x:c r="B4" s="193"/>
      <x:c r="C4" s="193"/>
      <x:c r="D4" s="193"/>
      <x:c r="E4" s="193"/>
      <x:c r="F4" s="193"/>
      <x:c r="G4" s="193"/>
      <x:c r="H4" s="193"/>
      <x:c r="I4" s="193"/>
      <x:c r="J4" s="193"/>
      <x:c r="K4" s="193"/>
    </x:row>
    <x:row r="5" ht="30" customHeight="1">
      <x:c r="A5" s="224" t="str">
        <x:v>ID</x:v>
      </x:c>
      <x:c r="B5" s="224" t="str">
        <x:v>Type</x:v>
      </x:c>
      <x:c r="C5" s="224" t="str">
        <x:v>Area</x:v>
      </x:c>
      <x:c r="D5" s="224" t="str">
        <x:v>Description</x:v>
      </x:c>
      <x:c r="E5" s="224" t="str">
        <x:v>Impact</x:v>
      </x:c>
      <x:c r="F5" s="224" t="str">
        <x:v>Severity</x:v>
      </x:c>
      <x:c r="G5" s="224" t="str">
        <x:v>Owner</x:v>
      </x:c>
      <x:c r="H5" s="224" t="str">
        <x:v>Due</x:v>
      </x:c>
      <x:c r="I5" s="224" t="str">
        <x:v>Status</x:v>
      </x:c>
      <x:c r="J5" s="224" t="str">
        <x:v>Mitigation / Decision</x:v>
      </x:c>
      <x:c r="K5" s="224" t="str">
        <x:v>Escalation Trigger</x:v>
      </x:c>
    </x:row>
    <x:row r="6">
      <x:c r="A6" s="158" t="str">
        <x:v>R-01</x:v>
      </x:c>
      <x:c r="B6" s="158" t="str">
        <x:v>Risk</x:v>
      </x:c>
      <x:c r="C6" s="158" t="str">
        <x:v>Status truth</x:v>
      </x:c>
      <x:c r="D6" s="158" t="str">
        <x:v>GitHub parent issues and implementation commits can drift</x:v>
      </x:c>
      <x:c r="E6" s="158" t="str">
        <x:v>Management reporting can under- or over-state progress</x:v>
      </x:c>
      <x:c r="F6" s="158" t="str">
        <x:v>High</x:v>
      </x:c>
      <x:c r="G6" s="158" t="str">
        <x:v>Product</x:v>
      </x:c>
      <x:c r="H6" s="160" t="n">
        <x:v>46255</x:v>
      </x:c>
      <x:c r="I6" s="158" t="str">
        <x:v>Open</x:v>
      </x:c>
      <x:c r="J6" s="158" t="str">
        <x:v>Reconcile each capability with current main, issue and acceptance evidence</x:v>
      </x:c>
      <x:c r="K6" s="158" t="str">
        <x:v>Any slide claims Done without linked evidence</x:v>
      </x:c>
    </x:row>
    <x:row r="7">
      <x:c r="A7" s="161" t="str">
        <x:v>R-02</x:v>
      </x:c>
      <x:c r="B7" s="161" t="str">
        <x:v>Risk</x:v>
      </x:c>
      <x:c r="C7" s="161" t="str">
        <x:v>Customer acceptance</x:v>
      </x:c>
      <x:c r="D7" s="161" t="str">
        <x:v>Engineering tests do not prove Charles/Ngee usability</x:v>
      </x:c>
      <x:c r="E7" s="161" t="str">
        <x:v>Product may appear complete but fail real review</x:v>
      </x:c>
      <x:c r="F7" s="161" t="str">
        <x:v>Critical</x:v>
      </x:c>
      <x:c r="G7" s="161" t="str">
        <x:v>Product + QA</x:v>
      </x:c>
      <x:c r="H7" s="163" t="n">
        <x:v>46258</x:v>
      </x:c>
      <x:c r="I7" s="161" t="str">
        <x:v>Open</x:v>
      </x:c>
      <x:c r="J7" s="161" t="str">
        <x:v>Run named-account browser journeys and record evidence</x:v>
      </x:c>
      <x:c r="K7" s="161" t="str">
        <x:v>Acceptance #53 remains open past R1</x:v>
      </x:c>
    </x:row>
    <x:row r="8">
      <x:c r="A8" s="161" t="str">
        <x:v>R-03</x:v>
      </x:c>
      <x:c r="B8" s="161" t="str">
        <x:v>Risk</x:v>
      </x:c>
      <x:c r="C8" s="161" t="str">
        <x:v>Ngee generalisation</x:v>
      </x:c>
      <x:c r="D8" s="161" t="str">
        <x:v>Ngee may accidentally copy Preschool contracts</x:v>
      </x:c>
      <x:c r="E8" s="161" t="str">
        <x:v>Platform becomes project-specific and expensive to scale</x:v>
      </x:c>
      <x:c r="F8" s="161" t="str">
        <x:v>High</x:v>
      </x:c>
      <x:c r="G8" s="161" t="str">
        <x:v>Architecture</x:v>
      </x:c>
      <x:c r="H8" s="163" t="n">
        <x:v>46262</x:v>
      </x:c>
      <x:c r="I8" s="161" t="str">
        <x:v>Open</x:v>
      </x:c>
      <x:c r="J8" s="161" t="str">
        <x:v>Share lifecycle and identity; keep project Packs and questions separate</x:v>
      </x:c>
      <x:c r="K8" s="161" t="str">
        <x:v>Preschool section IDs appear in Ngee artifacts</x:v>
      </x:c>
    </x:row>
    <x:row r="9">
      <x:c r="A9" s="161" t="str">
        <x:v>R-04</x:v>
      </x:c>
      <x:c r="B9" s="161" t="str">
        <x:v>Risk</x:v>
      </x:c>
      <x:c r="C9" s="161" t="str">
        <x:v>AI value</x:v>
      </x:c>
      <x:c r="D9" s="161" t="str">
        <x:v>Overly strict Evidence rules produce bland output; loose rules overclaim</x:v>
      </x:c>
      <x:c r="E9" s="161" t="str">
        <x:v>Users lose trust or see no new value</x:v>
      </x:c>
      <x:c r="F9" s="161" t="str">
        <x:v>High</x:v>
      </x:c>
      <x:c r="G9" s="161" t="str">
        <x:v>Energy + AI</x:v>
      </x:c>
      <x:c r="H9" s="163" t="n">
        <x:v>46269</x:v>
      </x:c>
      <x:c r="I9" s="161" t="str">
        <x:v>Open</x:v>
      </x:c>
      <x:c r="J9" s="161" t="str">
        <x:v>Separate observations, inference and speculative angles; human score usefulness</x:v>
      </x:c>
      <x:c r="K9" s="161" t="str">
        <x:v>Speculation displayed as confirmed fact</x:v>
      </x:c>
    </x:row>
    <x:row r="10">
      <x:c r="A10" s="161" t="str">
        <x:v>R-05</x:v>
      </x:c>
      <x:c r="B10" s="161" t="str">
        <x:v>Risk</x:v>
      </x:c>
      <x:c r="C10" s="161" t="str">
        <x:v>Artifact freshness</x:v>
      </x:c>
      <x:c r="D10" s="161" t="str">
        <x:v>Old AI output could be shown after Snapshot changes</x:v>
      </x:c>
      <x:c r="E10" s="161" t="str">
        <x:v>A/B becomes misleading</x:v>
      </x:c>
      <x:c r="F10" s="161" t="str">
        <x:v>Critical</x:v>
      </x:c>
      <x:c r="G10" s="161" t="str">
        <x:v>AI Platform</x:v>
      </x:c>
      <x:c r="H10" s="163" t="n">
        <x:v>46276</x:v>
      </x:c>
      <x:c r="I10" s="161" t="str">
        <x:v>Open</x:v>
      </x:c>
      <x:c r="J10" s="161" t="str">
        <x:v>Exact Snapshot/Release/Period identity and no stale fallback</x:v>
      </x:c>
      <x:c r="K10" s="161" t="str">
        <x:v>Artifact identity differs from current Overview</x:v>
      </x:c>
    </x:row>
    <x:row r="11">
      <x:c r="A11" s="161" t="str">
        <x:v>D-01</x:v>
      </x:c>
      <x:c r="B11" s="161" t="str">
        <x:v>Decision</x:v>
      </x:c>
      <x:c r="C11" s="161" t="str">
        <x:v>Priority</x:v>
      </x:c>
      <x:c r="D11" s="161" t="str">
        <x:v>Choose Ngee acceptance before Coding Agent expansion</x:v>
      </x:c>
      <x:c r="E11" s="161" t="str">
        <x:v>Protects the shortest route to customer proof</x:v>
      </x:c>
      <x:c r="F11" s="161" t="str">
        <x:v>High</x:v>
      </x:c>
      <x:c r="G11" s="161" t="str">
        <x:v>Sponsor</x:v>
      </x:c>
      <x:c r="H11" s="163" t="n">
        <x:v>46255</x:v>
      </x:c>
      <x:c r="I11" s="161" t="str">
        <x:v>Open</x:v>
      </x:c>
      <x:c r="J11" s="161" t="str">
        <x:v>Recommend Ngee + A/B + feedback loop first</x:v>
      </x:c>
      <x:c r="K11" s="161" t="str">
        <x:v>Coding Agent work starts before R2 exit</x:v>
      </x:c>
    </x:row>
    <x:row r="12">
      <x:c r="A12" s="161" t="str">
        <x:v>D-02</x:v>
      </x:c>
      <x:c r="B12" s="161" t="str">
        <x:v>Decision</x:v>
      </x:c>
      <x:c r="C12" s="161" t="str">
        <x:v>Commercial packaging</x:v>
      </x:c>
      <x:c r="D12" s="161" t="str">
        <x:v>Agree Pilot, Intelligence and Enterprise offer boundaries</x:v>
      </x:c>
      <x:c r="E12" s="161" t="str">
        <x:v>Needed for customer proposal and pricing</x:v>
      </x:c>
      <x:c r="F12" s="161" t="str">
        <x:v>Medium</x:v>
      </x:c>
      <x:c r="G12" s="161" t="str">
        <x:v>Product + Sales</x:v>
      </x:c>
      <x:c r="H12" s="163" t="n">
        <x:v>46269</x:v>
      </x:c>
      <x:c r="I12" s="161" t="str">
        <x:v>Open</x:v>
      </x:c>
      <x:c r="J12" s="161" t="str">
        <x:v>Validate packaging with Charles and Ngee feedback</x:v>
      </x:c>
      <x:c r="K12" s="161" t="str">
        <x:v>Customer proposal requested without scope</x:v>
      </x:c>
    </x:row>
    <x:row r="13">
      <x:c r="A13" s="161" t="str">
        <x:v>D-03</x:v>
      </x:c>
      <x:c r="B13" s="161" t="str">
        <x:v>Decision</x:v>
      </x:c>
      <x:c r="C13" s="161" t="str">
        <x:v>Ownership</x:v>
      </x:c>
      <x:c r="D13" s="161" t="str">
        <x:v>Name Product, Energy, QA/UAT and Operations owners</x:v>
      </x:c>
      <x:c r="E13" s="161" t="str">
        <x:v>Without owners dates remain indicative</x:v>
      </x:c>
      <x:c r="F13" s="161" t="str">
        <x:v>High</x:v>
      </x:c>
      <x:c r="G13" s="161" t="str">
        <x:v>Sponsor</x:v>
      </x:c>
      <x:c r="H13" s="163" t="n">
        <x:v>46255</x:v>
      </x:c>
      <x:c r="I13" s="161" t="str">
        <x:v>Open</x:v>
      </x:c>
      <x:c r="J13" s="161" t="str">
        <x:v>Publish RACI for R1-R2</x:v>
      </x:c>
      <x:c r="K13" s="161" t="str">
        <x:v>A gate has no sign-off owner</x:v>
      </x:c>
    </x:row>
    <x:row r="14">
      <x:c r="A14" s="161" t="str">
        <x:v>A-01</x:v>
      </x:c>
      <x:c r="B14" s="161" t="str">
        <x:v>Assumption</x:v>
      </x:c>
      <x:c r="C14" s="161" t="str">
        <x:v>Timeline</x:v>
      </x:c>
      <x:c r="D14" s="161" t="str">
        <x:v>The 90-day sequence assumes current team capacity continues</x:v>
      </x:c>
      <x:c r="E14" s="161" t="str">
        <x:v>Dates move if acceptance or data access is delayed</x:v>
      </x:c>
      <x:c r="F14" s="161" t="str">
        <x:v>Medium</x:v>
      </x:c>
      <x:c r="G14" s="161" t="str">
        <x:v>PMO</x:v>
      </x:c>
      <x:c r="H14" s="163" t="n">
        <x:v>46255</x:v>
      </x:c>
      <x:c r="I14" s="161" t="str">
        <x:v>Open</x:v>
      </x:c>
      <x:c r="J14" s="161" t="str">
        <x:v>Rebaseline after R1</x:v>
      </x:c>
      <x:c r="K14" s="161" t="str">
        <x:v>Capacity or customer access changes</x:v>
      </x:c>
    </x:row>
  </x:sheetData>
  <x:mergeCells>
    <x:mergeCell ref="A1:K1"/>
    <x:mergeCell ref="A2:K2"/>
  </x:mergeCells>
  <x:conditionalFormatting sqref="F6:F14">
    <x:cfRule type="containsText" dxfId="28" priority="1" operator="containsText" text="Critical"/>
    <x:cfRule type="containsText" dxfId="29" priority="2" operator="containsText" text="High"/>
  </x:conditionalFormatting>
  <x:dataValidations count="2">
    <x:dataValidation type="list" sqref="B6:B14">
      <x:formula1>"Risk,Assumption,Issue,Dependency,Decision"</x:formula1>
    </x:dataValidation>
    <x:dataValidation type="list" sqref="I6:I14">
      <x:formula1>"Open,Monitoring,Closed"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5bbfbec2ba4e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50" hidden="0" customWidth="1"/>
    <x:col min="5" max="5" width="14" hidden="0" customWidth="1"/>
    <x:col min="6" max="6" width="26" hidden="0" customWidth="1"/>
    <x:col min="7" max="7" width="58" hidden="0" customWidth="1"/>
  </x:cols>
  <x:sheetData>
    <x:row r="1" ht="34" customHeight="1">
      <x:c r="A1" s="191" t="str">
        <x:v>Evidence &amp; Acceptance Register</x:v>
      </x:c>
      <x:c r="B1" s="191" t="str">
        <x:v>Evidence &amp; Acceptance Register</x:v>
      </x:c>
      <x:c r="C1" s="191" t="str">
        <x:v>Evidence &amp; Acceptance Register</x:v>
      </x:c>
      <x:c r="D1" s="191" t="str">
        <x:v>Evidence &amp; Acceptance Register</x:v>
      </x:c>
      <x:c r="E1" s="191" t="str">
        <x:v>Evidence &amp; Acceptance Register</x:v>
      </x:c>
      <x:c r="F1" s="191" t="str">
        <x:v>Evidence &amp; Acceptance Register</x:v>
      </x:c>
      <x:c r="G1" s="191" t="str">
        <x:v>Evidence &amp; Acceptance Register</x:v>
      </x:c>
    </x:row>
    <x:row r="2" ht="28" customHeight="1">
      <x:c r="A2" s="192" t="str">
        <x:v>A claim is not Done until its engineering, deployment and human-acceptance level is explicit</x:v>
      </x:c>
      <x:c r="B2" s="192" t="str">
        <x:v>A claim is not Done until its engineering, deployment and human-acceptance level is explicit</x:v>
      </x:c>
      <x:c r="C2" s="192" t="str">
        <x:v>A claim is not Done until its engineering, deployment and human-acceptance level is explicit</x:v>
      </x:c>
      <x:c r="D2" s="192" t="str">
        <x:v>A claim is not Done until its engineering, deployment and human-acceptance level is explicit</x:v>
      </x:c>
      <x:c r="E2" s="192" t="str">
        <x:v>A claim is not Done until its engineering, deployment and human-acceptance level is explicit</x:v>
      </x:c>
      <x:c r="F2" s="192" t="str">
        <x:v>A claim is not Done until its engineering, deployment and human-acceptance level is explicit</x:v>
      </x:c>
      <x:c r="G2" s="192" t="str">
        <x:v>A claim is not Done until its engineering, deployment and human-acceptance level is explicit</x:v>
      </x:c>
    </x:row>
    <x:row r="3">
      <x:c r="A3" s="193"/>
      <x:c r="B3" s="193"/>
      <x:c r="C3" s="193"/>
      <x:c r="D3" s="193"/>
      <x:c r="E3" s="193"/>
      <x:c r="F3" s="193"/>
      <x:c r="G3" s="193"/>
    </x:row>
    <x:row r="4">
      <x:c r="A4" s="193"/>
      <x:c r="B4" s="193"/>
      <x:c r="C4" s="193"/>
      <x:c r="D4" s="193"/>
      <x:c r="E4" s="193"/>
      <x:c r="F4" s="193"/>
      <x:c r="G4" s="193"/>
    </x:row>
    <x:row r="5" ht="30" customHeight="1">
      <x:c r="A5" s="224" t="str">
        <x:v>ID</x:v>
      </x:c>
      <x:c r="B5" s="224" t="str">
        <x:v>Evidence type</x:v>
      </x:c>
      <x:c r="C5" s="224" t="str">
        <x:v>Reference</x:v>
      </x:c>
      <x:c r="D5" s="224" t="str">
        <x:v>What it supports</x:v>
      </x:c>
      <x:c r="E5" s="224" t="str">
        <x:v>As of</x:v>
      </x:c>
      <x:c r="F5" s="224" t="str">
        <x:v>Evidence level</x:v>
      </x:c>
      <x:c r="G5" s="224" t="str">
        <x:v>URL / Path</x:v>
      </x:c>
    </x:row>
    <x:row r="6">
      <x:c r="A6" s="158" t="str">
        <x:v>EV-001</x:v>
      </x:c>
      <x:c r="B6" s="158" t="str">
        <x:v>Repository baseline</x:v>
      </x:c>
      <x:c r="C6" s="158" t="str">
        <x:v>main@7070843</x:v>
      </x:c>
      <x:c r="D6" s="158" t="str">
        <x:v>Current integration line used for this roadmap draft</x:v>
      </x:c>
      <x:c r="E6" s="158" t="str">
        <x:v>2026-08-17</x:v>
      </x:c>
      <x:c r="F6" s="158" t="str">
        <x:v>Engineering</x:v>
      </x:c>
      <x:c r="G6" s="158" t="str">
        <x:v>D:/Projects/energyiq-datafoundry-demo-integration</x:v>
      </x:c>
    </x:row>
    <x:row r="7">
      <x:c r="A7" s="161" t="str">
        <x:v>EV-002</x:v>
      </x:c>
      <x:c r="B7" s="161" t="str">
        <x:v>GitHub issue</x:v>
      </x:c>
      <x:c r="C7" s="161" t="str">
        <x:v>#60 closed</x:v>
      </x:c>
      <x:c r="D7" s="161" t="str">
        <x:v>Preschool real Snapshot A/B engineering acceptance</x:v>
      </x:c>
      <x:c r="E7" s="161" t="str">
        <x:v>2026-08-17</x:v>
      </x:c>
      <x:c r="F7" s="161" t="str">
        <x:v>Engineering</x:v>
      </x:c>
      <x:c r="G7" s="161" t="str">
        <x:v>https://github.com/Zion74/energyiq-datafoundry/issues/60</x:v>
      </x:c>
    </x:row>
    <x:row r="8">
      <x:c r="A8" s="161" t="str">
        <x:v>EV-003</x:v>
      </x:c>
      <x:c r="B8" s="161" t="str">
        <x:v>GitHub issue</x:v>
      </x:c>
      <x:c r="C8" s="161" t="str">
        <x:v>#58 closed</x:v>
      </x:c>
      <x:c r="D8" s="161" t="str">
        <x:v>Additional Insight Provider pass@3 and value boundary</x:v>
      </x:c>
      <x:c r="E8" s="161" t="str">
        <x:v>2026-08-15</x:v>
      </x:c>
      <x:c r="F8" s="161" t="str">
        <x:v>Engineering</x:v>
      </x:c>
      <x:c r="G8" s="161" t="str">
        <x:v>https://github.com/Zion74/energyiq-datafoundry/issues/58</x:v>
      </x:c>
    </x:row>
    <x:row r="9">
      <x:c r="A9" s="161" t="str">
        <x:v>EV-004</x:v>
      </x:c>
      <x:c r="B9" s="161" t="str">
        <x:v>GitHub issue</x:v>
      </x:c>
      <x:c r="C9" s="161" t="str">
        <x:v>#59 closed</x:v>
      </x:c>
      <x:c r="D9" s="161" t="str">
        <x:v>Approved Additional candidate publication to current Overview</x:v>
      </x:c>
      <x:c r="E9" s="161" t="str">
        <x:v>2026-08-15</x:v>
      </x:c>
      <x:c r="F9" s="161" t="str">
        <x:v>Engineering</x:v>
      </x:c>
      <x:c r="G9" s="161" t="str">
        <x:v>https://github.com/Zion74/energyiq-datafoundry/issues/59</x:v>
      </x:c>
    </x:row>
    <x:row r="10">
      <x:c r="A10" s="161" t="str">
        <x:v>EV-005</x:v>
      </x:c>
      <x:c r="B10" s="161" t="str">
        <x:v>GitHub issue</x:v>
      </x:c>
      <x:c r="C10" s="161" t="str">
        <x:v>#53 open</x:v>
      </x:c>
      <x:c r="D10" s="161" t="str">
        <x:v>Multi-account and project-boundary human acceptance</x:v>
      </x:c>
      <x:c r="E10" s="161" t="str">
        <x:v>2026-08-17</x:v>
      </x:c>
      <x:c r="F10" s="161" t="str">
        <x:v>Human acceptance pending</x:v>
      </x:c>
      <x:c r="G10" s="161" t="str">
        <x:v>https://github.com/Zion74/energyiq-datafoundry/issues/53</x:v>
      </x:c>
    </x:row>
    <x:row r="11">
      <x:c r="A11" s="161" t="str">
        <x:v>EV-006</x:v>
      </x:c>
      <x:c r="B11" s="161" t="str">
        <x:v>GitHub issue</x:v>
      </x:c>
      <x:c r="C11" s="161" t="str">
        <x:v>#55 open</x:v>
      </x:c>
      <x:c r="D11" s="161" t="str">
        <x:v>Ngee server-persisted Layer 1-3 Adapter</x:v>
      </x:c>
      <x:c r="E11" s="161" t="str">
        <x:v>2026-08-17</x:v>
      </x:c>
      <x:c r="F11" s="161" t="str">
        <x:v>Implementation / acceptance</x:v>
      </x:c>
      <x:c r="G11" s="161" t="str">
        <x:v>https://github.com/Zion74/energyiq-datafoundry/issues/55</x:v>
      </x:c>
    </x:row>
    <x:row r="12">
      <x:c r="A12" s="161" t="str">
        <x:v>EV-007</x:v>
      </x:c>
      <x:c r="B12" s="161" t="str">
        <x:v>GitHub issue</x:v>
      </x:c>
      <x:c r="C12" s="161" t="str">
        <x:v>#56 open</x:v>
      </x:c>
      <x:c r="D12" s="161" t="str">
        <x:v>Ngee Snapshot A/B value acceptance</x:v>
      </x:c>
      <x:c r="E12" s="161" t="str">
        <x:v>2026-08-17</x:v>
      </x:c>
      <x:c r="F12" s="161" t="str">
        <x:v>Planned</x:v>
      </x:c>
      <x:c r="G12" s="161" t="str">
        <x:v>https://github.com/Zion74/energyiq-datafoundry/issues/56</x:v>
      </x:c>
    </x:row>
    <x:row r="13">
      <x:c r="A13" s="161" t="str">
        <x:v>EV-008</x:v>
      </x:c>
      <x:c r="B13" s="161" t="str">
        <x:v>GitHub issue</x:v>
      </x:c>
      <x:c r="C13" s="161" t="str">
        <x:v>#57 open</x:v>
      </x:c>
      <x:c r="D13" s="161" t="str">
        <x:v>Insight usefulness to Method/SOP feedback loop</x:v>
      </x:c>
      <x:c r="E13" s="161" t="str">
        <x:v>2026-08-17</x:v>
      </x:c>
      <x:c r="F13" s="161" t="str">
        <x:v>Planned</x:v>
      </x:c>
      <x:c r="G13" s="161" t="str">
        <x:v>https://github.com/Zion74/energyiq-datafoundry/issues/57</x:v>
      </x:c>
    </x:row>
    <x:row r="14">
      <x:c r="A14" s="161" t="str">
        <x:v>EV-009</x:v>
      </x:c>
      <x:c r="B14" s="161" t="str">
        <x:v>GitHub map</x:v>
      </x:c>
      <x:c r="C14" s="161" t="str">
        <x:v>#62 open</x:v>
      </x:c>
      <x:c r="D14" s="161" t="str">
        <x:v>Admin Harness Configuration and AI Operations roadmap</x:v>
      </x:c>
      <x:c r="E14" s="161" t="str">
        <x:v>2026-08-17</x:v>
      </x:c>
      <x:c r="F14" s="161" t="str">
        <x:v>In validation / planned</x:v>
      </x:c>
      <x:c r="G14" s="161" t="str">
        <x:v>https://github.com/Zion74/energyiq-datafoundry/issues/62</x:v>
      </x:c>
    </x:row>
    <x:row r="15">
      <x:c r="A15" s="161" t="str">
        <x:v>EV-010</x:v>
      </x:c>
      <x:c r="B15" s="161" t="str">
        <x:v>Decision document</x:v>
      </x:c>
      <x:c r="C15" s="161" t="str">
        <x:v>Overview AI decision</x:v>
      </x:c>
      <x:c r="D15" s="161" t="str">
        <x:v>Layer 1-3, A/B, Evidence and Artifact product boundary</x:v>
      </x:c>
      <x:c r="E15" s="161" t="str">
        <x:v>2026-08-16</x:v>
      </x:c>
      <x:c r="F15" s="161" t="str">
        <x:v>Accepted design</x:v>
      </x:c>
      <x:c r="G15" s="161" t="str">
        <x:v>docs/energyiq/2026-08-05-Overview用户价值与AI-Slot最小交付决策.md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f16eccd677b47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42" hidden="0" customWidth="1"/>
    <x:col min="4" max="4" width="18" hidden="0" customWidth="1"/>
    <x:col min="5" max="5" width="20" hidden="0" customWidth="1"/>
    <x:col min="6" max="6" width="8" hidden="0" customWidth="1"/>
    <x:col min="7" max="7" width="13" hidden="0" customWidth="1"/>
    <x:col min="8" max="8" width="13" hidden="0" customWidth="1"/>
    <x:col min="9" max="9" width="18" hidden="0" customWidth="1"/>
    <x:col min="10" max="10" width="46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</x:cols>
  <x:sheetData>
    <x:row r="1" ht="34" customHeight="1">
      <x:c r="A1" s="123" t="str">
        <x:v>EnergyIQ Detailed Delivery Gantt · Aug–Nov 2026</x:v>
      </x:c>
      <x:c r="B1" s="4" t="str">
        <x:v>EnergyIQ Detailed Delivery Gantt · Aug–Nov 2026</x:v>
      </x:c>
      <x:c r="C1" s="4" t="str">
        <x:v>EnergyIQ Detailed Delivery Gantt · Aug–Nov 2026</x:v>
      </x:c>
      <x:c r="D1" s="4" t="str">
        <x:v>EnergyIQ Detailed Delivery Gantt · Aug–Nov 2026</x:v>
      </x:c>
      <x:c r="E1" s="4" t="str">
        <x:v>EnergyIQ Detailed Delivery Gantt · Aug–Nov 2026</x:v>
      </x:c>
      <x:c r="F1" s="4" t="str">
        <x:v>EnergyIQ Detailed Delivery Gantt · Aug–Nov 2026</x:v>
      </x:c>
      <x:c r="G1" s="4" t="str">
        <x:v>EnergyIQ Detailed Delivery Gantt · Aug–Nov 2026</x:v>
      </x:c>
      <x:c r="H1" s="4" t="str">
        <x:v>EnergyIQ Detailed Delivery Gantt · Aug–Nov 2026</x:v>
      </x:c>
      <x:c r="I1" s="4" t="str">
        <x:v>EnergyIQ Detailed Delivery Gantt · Aug–Nov 2026</x:v>
      </x:c>
      <x:c r="J1" s="4" t="str">
        <x:v>EnergyIQ Detailed Delivery Gantt · Aug–Nov 2026</x:v>
      </x:c>
      <x:c r="K1" s="4" t="str">
        <x:v>EnergyIQ Detailed Delivery Gantt · Aug–Nov 2026</x:v>
      </x:c>
      <x:c r="L1" s="4" t="str">
        <x:v>EnergyIQ Detailed Delivery Gantt · Aug–Nov 2026</x:v>
      </x:c>
      <x:c r="M1" s="4" t="str">
        <x:v>EnergyIQ Detailed Delivery Gantt · Aug–Nov 2026</x:v>
      </x:c>
      <x:c r="N1" s="4" t="str">
        <x:v>EnergyIQ Detailed Delivery Gantt · Aug–Nov 2026</x:v>
      </x:c>
      <x:c r="O1" s="4" t="str">
        <x:v>EnergyIQ Detailed Delivery Gantt · Aug–Nov 2026</x:v>
      </x:c>
      <x:c r="P1" s="4" t="str">
        <x:v>EnergyIQ Detailed Delivery Gantt · Aug–Nov 2026</x:v>
      </x:c>
      <x:c r="Q1" s="4" t="str">
        <x:v>EnergyIQ Detailed Delivery Gantt · Aug–Nov 2026</x:v>
      </x:c>
      <x:c r="R1" s="4" t="str">
        <x:v>EnergyIQ Detailed Delivery Gantt · Aug–Nov 2026</x:v>
      </x:c>
      <x:c r="S1" s="4" t="str">
        <x:v>EnergyIQ Detailed Delivery Gantt · Aug–Nov 2026</x:v>
      </x:c>
      <x:c r="T1" s="4" t="str">
        <x:v>EnergyIQ Detailed Delivery Gantt · Aug–Nov 2026</x:v>
      </x:c>
      <x:c r="U1" s="4" t="str">
        <x:v>EnergyIQ Detailed Delivery Gantt · Aug–Nov 2026</x:v>
      </x:c>
      <x:c r="V1" s="4" t="str">
        <x:v>EnergyIQ Detailed Delivery Gantt · Aug–Nov 2026</x:v>
      </x:c>
      <x:c r="W1" s="4" t="str">
        <x:v>EnergyIQ Detailed Delivery Gantt · Aug–Nov 2026</x:v>
      </x:c>
      <x:c r="X1" s="4" t="str">
        <x:v>EnergyIQ Detailed Delivery Gantt · Aug–Nov 2026</x:v>
      </x:c>
      <x:c r="Y1" s="4" t="str">
        <x:v>EnergyIQ Detailed Delivery Gantt · Aug–Nov 2026</x:v>
      </x:c>
    </x:row>
    <x:row r="2" ht="28" customHeight="1">
      <x:c r="A2" s="8" t="str">
        <x:v>Execution view linked to the Delivery Plan · weekly bars are calculated from Start and Due dates · dates remain indicative until owners confirm</x:v>
      </x:c>
      <x:c r="B2" s="8" t="str">
        <x:v>Execution view linked to the Delivery Plan · weekly bars are calculated from Start and Due dates · dates remain indicative until owners confirm</x:v>
      </x:c>
      <x:c r="C2" s="8" t="str">
        <x:v>Execution view linked to the Delivery Plan · weekly bars are calculated from Start and Due dates · dates remain indicative until owners confirm</x:v>
      </x:c>
      <x:c r="D2" s="8" t="str">
        <x:v>Execution view linked to the Delivery Plan · weekly bars are calculated from Start and Due dates · dates remain indicative until owners confirm</x:v>
      </x:c>
      <x:c r="E2" s="8" t="str">
        <x:v>Execution view linked to the Delivery Plan · weekly bars are calculated from Start and Due dates · dates remain indicative until owners confirm</x:v>
      </x:c>
      <x:c r="F2" s="8" t="str">
        <x:v>Execution view linked to the Delivery Plan · weekly bars are calculated from Start and Due dates · dates remain indicative until owners confirm</x:v>
      </x:c>
      <x:c r="G2" s="8" t="str">
        <x:v>Execution view linked to the Delivery Plan · weekly bars are calculated from Start and Due dates · dates remain indicative until owners confirm</x:v>
      </x:c>
      <x:c r="H2" s="8" t="str">
        <x:v>Execution view linked to the Delivery Plan · weekly bars are calculated from Start and Due dates · dates remain indicative until owners confirm</x:v>
      </x:c>
      <x:c r="I2" s="8" t="str">
        <x:v>Execution view linked to the Delivery Plan · weekly bars are calculated from Start and Due dates · dates remain indicative until owners confirm</x:v>
      </x:c>
      <x:c r="J2" s="8" t="str">
        <x:v>Execution view linked to the Delivery Plan · weekly bars are calculated from Start and Due dates · dates remain indicative until owners confirm</x:v>
      </x:c>
      <x:c r="K2" s="8" t="str">
        <x:v>Execution view linked to the Delivery Plan · weekly bars are calculated from Start and Due dates · dates remain indicative until owners confirm</x:v>
      </x:c>
      <x:c r="L2" s="8" t="str">
        <x:v>Execution view linked to the Delivery Plan · weekly bars are calculated from Start and Due dates · dates remain indicative until owners confirm</x:v>
      </x:c>
      <x:c r="M2" s="8" t="str">
        <x:v>Execution view linked to the Delivery Plan · weekly bars are calculated from Start and Due dates · dates remain indicative until owners confirm</x:v>
      </x:c>
      <x:c r="N2" s="8" t="str">
        <x:v>Execution view linked to the Delivery Plan · weekly bars are calculated from Start and Due dates · dates remain indicative until owners confirm</x:v>
      </x:c>
      <x:c r="O2" s="8" t="str">
        <x:v>Execution view linked to the Delivery Plan · weekly bars are calculated from Start and Due dates · dates remain indicative until owners confirm</x:v>
      </x:c>
      <x:c r="P2" s="8" t="str">
        <x:v>Execution view linked to the Delivery Plan · weekly bars are calculated from Start and Due dates · dates remain indicative until owners confirm</x:v>
      </x:c>
      <x:c r="Q2" s="8" t="str">
        <x:v>Execution view linked to the Delivery Plan · weekly bars are calculated from Start and Due dates · dates remain indicative until owners confirm</x:v>
      </x:c>
      <x:c r="R2" s="8" t="str">
        <x:v>Execution view linked to the Delivery Plan · weekly bars are calculated from Start and Due dates · dates remain indicative until owners confirm</x:v>
      </x:c>
      <x:c r="S2" s="8" t="str">
        <x:v>Execution view linked to the Delivery Plan · weekly bars are calculated from Start and Due dates · dates remain indicative until owners confirm</x:v>
      </x:c>
      <x:c r="T2" s="8" t="str">
        <x:v>Execution view linked to the Delivery Plan · weekly bars are calculated from Start and Due dates · dates remain indicative until owners confirm</x:v>
      </x:c>
      <x:c r="U2" s="8" t="str">
        <x:v>Execution view linked to the Delivery Plan · weekly bars are calculated from Start and Due dates · dates remain indicative until owners confirm</x:v>
      </x:c>
      <x:c r="V2" s="8" t="str">
        <x:v>Execution view linked to the Delivery Plan · weekly bars are calculated from Start and Due dates · dates remain indicative until owners confirm</x:v>
      </x:c>
      <x:c r="W2" s="8" t="str">
        <x:v>Execution view linked to the Delivery Plan · weekly bars are calculated from Start and Due dates · dates remain indicative until owners confirm</x:v>
      </x:c>
      <x:c r="X2" s="8" t="str">
        <x:v>Execution view linked to the Delivery Plan · weekly bars are calculated from Start and Due dates · dates remain indicative until owners confirm</x:v>
      </x:c>
      <x:c r="Y2" s="8" t="str">
        <x:v>Execution view linked to the Delivery Plan · weekly bars are calculated from Start and Due dates · dates remain indicative until owners confirm</x:v>
      </x:c>
    </x:row>
    <x:row r="4">
      <x:c r="A4" s="246" t="str">
        <x:v>HOW TO READ · left side = accountable delivery data · right side = weekly execution window · bars update when Start / Due dates change in 02_Delivery_Plan</x:v>
      </x:c>
      <x:c r="B4" s="246"/>
      <x:c r="C4" s="246"/>
      <x:c r="D4" s="246"/>
      <x:c r="E4" s="246"/>
      <x:c r="F4" s="246"/>
      <x:c r="G4" s="246"/>
      <x:c r="H4" s="246"/>
      <x:c r="I4" s="246"/>
      <x:c r="J4" s="246"/>
    </x:row>
    <x:row r="5" ht="30" customHeight="1">
      <x:c r="A5" s="111" t="str">
        <x:v>ID</x:v>
      </x:c>
      <x:c r="B5" s="111" t="str">
        <x:v>Workstream</x:v>
      </x:c>
      <x:c r="C5" s="111" t="str">
        <x:v>Deliverable</x:v>
      </x:c>
      <x:c r="D5" s="111" t="str">
        <x:v>Owner</x:v>
      </x:c>
      <x:c r="E5" s="111" t="str">
        <x:v>Status</x:v>
      </x:c>
      <x:c r="F5" s="111" t="str">
        <x:v>%</x:v>
      </x:c>
      <x:c r="G5" s="111" t="str">
        <x:v>Start</x:v>
      </x:c>
      <x:c r="H5" s="111" t="str">
        <x:v>Due</x:v>
      </x:c>
      <x:c r="I5" s="111" t="str">
        <x:v>Dependency</x:v>
      </x:c>
      <x:c r="J5" s="111" t="str">
        <x:v>Acceptance / Exit Gate</x:v>
      </x:c>
      <x:c r="K5" s="247" t="n">
        <x:v>46237</x:v>
      </x:c>
      <x:c r="L5" s="247" t="n">
        <x:v>46244</x:v>
      </x:c>
      <x:c r="M5" s="247" t="n">
        <x:v>46251</x:v>
      </x:c>
      <x:c r="N5" s="247" t="n">
        <x:v>46258</x:v>
      </x:c>
      <x:c r="O5" s="247" t="n">
        <x:v>46265</x:v>
      </x:c>
      <x:c r="P5" s="247" t="n">
        <x:v>46272</x:v>
      </x:c>
      <x:c r="Q5" s="247" t="n">
        <x:v>46279</x:v>
      </x:c>
      <x:c r="R5" s="247" t="n">
        <x:v>46286</x:v>
      </x:c>
      <x:c r="S5" s="247" t="n">
        <x:v>46293</x:v>
      </x:c>
      <x:c r="T5" s="247" t="n">
        <x:v>46300</x:v>
      </x:c>
      <x:c r="U5" s="247" t="n">
        <x:v>46307</x:v>
      </x:c>
      <x:c r="V5" s="247" t="n">
        <x:v>46314</x:v>
      </x:c>
      <x:c r="W5" s="247" t="n">
        <x:v>46321</x:v>
      </x:c>
      <x:c r="X5" s="247" t="n">
        <x:v>46328</x:v>
      </x:c>
      <x:c r="Y5" s="247" t="n">
        <x:v>46335</x:v>
      </x:c>
    </x:row>
    <x:row r="6" ht="34" customHeight="1">
      <x:c r="A6" s="117" t="str">
        <x:f>'02_Delivery_Plan'!A6</x:f>
        <x:v>DLV-001</x:v>
      </x:c>
      <x:c r="B6" s="117" t="str">
        <x:f>'02_Delivery_Plan'!B6</x:f>
        <x:v>Verified Foundation</x:v>
      </x:c>
      <x:c r="C6" s="117" t="str">
        <x:f>'02_Delivery_Plan'!D6</x:f>
        <x:v>Lock Snapshot, Evidence and project-scoped identity</x:v>
      </x:c>
      <x:c r="D6" s="117" t="str">
        <x:f>'02_Delivery_Plan'!G6</x:f>
        <x:v>Platform</x:v>
      </x:c>
      <x:c r="E6" s="117" t="str">
        <x:f>'02_Delivery_Plan'!E6</x:f>
        <x:v>Engineering Verified</x:v>
      </x:c>
      <x:c r="F6" s="119" t="n">
        <x:f>'02_Delivery_Plan'!F6</x:f>
        <x:v>1</x:v>
      </x:c>
      <x:c r="G6" s="121" t="n">
        <x:f>'02_Delivery_Plan'!H6</x:f>
        <x:v>46237</x:v>
      </x:c>
      <x:c r="H6" s="121" t="n">
        <x:f>'02_Delivery_Plan'!I6</x:f>
        <x:v>46241</x:v>
      </x:c>
      <x:c r="I6" s="117" t="str">
        <x:f>'02_Delivery_Plan'!J6</x:f>
      </x:c>
      <x:c r="J6" s="117" t="str">
        <x:f>'02_Delivery_Plan'!K6</x:f>
        <x:v>Exact identity tests and persisted Evidence</x:v>
      </x:c>
      <x:c r="K6" s="252" t="str">
        <x:f>IF(AND(K$5&lt;=$H6,K$5+6&gt;=$G6),"■","")</x:f>
        <x:v>■</x:v>
      </x:c>
      <x:c r="L6" s="252" t="str">
        <x:f>IF(AND(L$5&lt;=$H6,L$5+6&gt;=$G6),"■","")</x:f>
      </x:c>
      <x:c r="M6" s="252" t="str">
        <x:f>IF(AND(M$5&lt;=$H6,M$5+6&gt;=$G6),"■","")</x:f>
      </x:c>
      <x:c r="N6" s="252" t="str">
        <x:f>IF(AND(N$5&lt;=$H6,N$5+6&gt;=$G6),"■","")</x:f>
      </x:c>
      <x:c r="O6" s="252" t="str">
        <x:f>IF(AND(O$5&lt;=$H6,O$5+6&gt;=$G6),"■","")</x:f>
      </x:c>
      <x:c r="P6" s="252" t="str">
        <x:f>IF(AND(P$5&lt;=$H6,P$5+6&gt;=$G6),"■","")</x:f>
      </x:c>
      <x:c r="Q6" s="252" t="str">
        <x:f>IF(AND(Q$5&lt;=$H6,Q$5+6&gt;=$G6),"■","")</x:f>
      </x:c>
      <x:c r="R6" s="252" t="str">
        <x:f>IF(AND(R$5&lt;=$H6,R$5+6&gt;=$G6),"■","")</x:f>
      </x:c>
      <x:c r="S6" s="252" t="str">
        <x:f>IF(AND(S$5&lt;=$H6,S$5+6&gt;=$G6),"■","")</x:f>
      </x:c>
      <x:c r="T6" s="252" t="str">
        <x:f>IF(AND(T$5&lt;=$H6,T$5+6&gt;=$G6),"■","")</x:f>
      </x:c>
      <x:c r="U6" s="252" t="str">
        <x:f>IF(AND(U$5&lt;=$H6,U$5+6&gt;=$G6),"■","")</x:f>
      </x:c>
      <x:c r="V6" s="252" t="str">
        <x:f>IF(AND(V$5&lt;=$H6,V$5+6&gt;=$G6),"■","")</x:f>
      </x:c>
      <x:c r="W6" s="252" t="str">
        <x:f>IF(AND(W$5&lt;=$H6,W$5+6&gt;=$G6),"■","")</x:f>
      </x:c>
      <x:c r="X6" s="252" t="str">
        <x:f>IF(AND(X$5&lt;=$H6,X$5+6&gt;=$G6),"■","")</x:f>
      </x:c>
      <x:c r="Y6" s="252" t="str">
        <x:f>IF(AND(Y$5&lt;=$H6,Y$5+6&gt;=$G6),"■","")</x:f>
      </x:c>
    </x:row>
    <x:row r="7" ht="34" customHeight="1">
      <x:c r="A7" s="118" t="str">
        <x:f>'02_Delivery_Plan'!A7</x:f>
        <x:v>DLV-002</x:v>
      </x:c>
      <x:c r="B7" s="118" t="str">
        <x:f>'02_Delivery_Plan'!B7</x:f>
        <x:v>Verified Foundation</x:v>
      </x:c>
      <x:c r="C7" s="118" t="str">
        <x:f>'02_Delivery_Plan'!D7</x:f>
        <x:v>Deliver Ngee Ann deterministic Overview</x:v>
      </x:c>
      <x:c r="D7" s="118" t="str">
        <x:f>'02_Delivery_Plan'!G7</x:f>
        <x:v>Product + Data</x:v>
      </x:c>
      <x:c r="E7" s="118" t="str">
        <x:f>'02_Delivery_Plan'!E7</x:f>
        <x:v>Engineering Verified</x:v>
      </x:c>
      <x:c r="F7" s="120" t="n">
        <x:f>'02_Delivery_Plan'!F7</x:f>
        <x:v>1</x:v>
      </x:c>
      <x:c r="G7" s="122" t="n">
        <x:f>'02_Delivery_Plan'!H7</x:f>
        <x:v>46237</x:v>
      </x:c>
      <x:c r="H7" s="122" t="n">
        <x:f>'02_Delivery_Plan'!I7</x:f>
        <x:v>46244</x:v>
      </x:c>
      <x:c r="I7" s="118" t="str">
        <x:f>'02_Delivery_Plan'!J7</x:f>
        <x:v>DLV-001</x:v>
      </x:c>
      <x:c r="J7" s="118" t="str">
        <x:f>'02_Delivery_Plan'!K7</x:f>
        <x:v>Golden data, hierarchy and decision-page evidence</x:v>
      </x:c>
      <x:c r="K7" s="252" t="str">
        <x:f>IF(AND(K$5&lt;=$H7,K$5+6&gt;=$G7),"■","")</x:f>
        <x:v>■</x:v>
      </x:c>
      <x:c r="L7" s="252" t="str">
        <x:f>IF(AND(L$5&lt;=$H7,L$5+6&gt;=$G7),"■","")</x:f>
        <x:v>■</x:v>
      </x:c>
      <x:c r="M7" s="252" t="str">
        <x:f>IF(AND(M$5&lt;=$H7,M$5+6&gt;=$G7),"■","")</x:f>
      </x:c>
      <x:c r="N7" s="252" t="str">
        <x:f>IF(AND(N$5&lt;=$H7,N$5+6&gt;=$G7),"■","")</x:f>
      </x:c>
      <x:c r="O7" s="252" t="str">
        <x:f>IF(AND(O$5&lt;=$H7,O$5+6&gt;=$G7),"■","")</x:f>
      </x:c>
      <x:c r="P7" s="252" t="str">
        <x:f>IF(AND(P$5&lt;=$H7,P$5+6&gt;=$G7),"■","")</x:f>
      </x:c>
      <x:c r="Q7" s="252" t="str">
        <x:f>IF(AND(Q$5&lt;=$H7,Q$5+6&gt;=$G7),"■","")</x:f>
      </x:c>
      <x:c r="R7" s="252" t="str">
        <x:f>IF(AND(R$5&lt;=$H7,R$5+6&gt;=$G7),"■","")</x:f>
      </x:c>
      <x:c r="S7" s="252" t="str">
        <x:f>IF(AND(S$5&lt;=$H7,S$5+6&gt;=$G7),"■","")</x:f>
      </x:c>
      <x:c r="T7" s="252" t="str">
        <x:f>IF(AND(T$5&lt;=$H7,T$5+6&gt;=$G7),"■","")</x:f>
      </x:c>
      <x:c r="U7" s="252" t="str">
        <x:f>IF(AND(U$5&lt;=$H7,U$5+6&gt;=$G7),"■","")</x:f>
      </x:c>
      <x:c r="V7" s="252" t="str">
        <x:f>IF(AND(V$5&lt;=$H7,V$5+6&gt;=$G7),"■","")</x:f>
      </x:c>
      <x:c r="W7" s="252" t="str">
        <x:f>IF(AND(W$5&lt;=$H7,W$5+6&gt;=$G7),"■","")</x:f>
      </x:c>
      <x:c r="X7" s="252" t="str">
        <x:f>IF(AND(X$5&lt;=$H7,X$5+6&gt;=$G7),"■","")</x:f>
      </x:c>
      <x:c r="Y7" s="252" t="str">
        <x:f>IF(AND(Y$5&lt;=$H7,Y$5+6&gt;=$G7),"■","")</x:f>
      </x:c>
    </x:row>
    <x:row r="8" ht="34" customHeight="1">
      <x:c r="A8" s="118" t="str">
        <x:f>'02_Delivery_Plan'!A8</x:f>
        <x:v>DLV-003</x:v>
      </x:c>
      <x:c r="B8" s="118" t="str">
        <x:f>'02_Delivery_Plan'!B8</x:f>
        <x:v>Verified Foundation</x:v>
      </x:c>
      <x:c r="C8" s="118" t="str">
        <x:f>'02_Delivery_Plan'!D8</x:f>
        <x:v>Deliver Preschool deterministic decision Overview</x:v>
      </x:c>
      <x:c r="D8" s="118" t="str">
        <x:f>'02_Delivery_Plan'!G8</x:f>
        <x:v>Product + Data</x:v>
      </x:c>
      <x:c r="E8" s="118" t="str">
        <x:f>'02_Delivery_Plan'!E8</x:f>
        <x:v>Engineering Verified</x:v>
      </x:c>
      <x:c r="F8" s="120" t="n">
        <x:f>'02_Delivery_Plan'!F8</x:f>
        <x:v>1</x:v>
      </x:c>
      <x:c r="G8" s="122" t="n">
        <x:f>'02_Delivery_Plan'!H8</x:f>
        <x:v>46240</x:v>
      </x:c>
      <x:c r="H8" s="122" t="n">
        <x:f>'02_Delivery_Plan'!I8</x:f>
        <x:v>46246</x:v>
      </x:c>
      <x:c r="I8" s="118" t="str">
        <x:f>'02_Delivery_Plan'!J8</x:f>
        <x:v>DLV-001</x:v>
      </x:c>
      <x:c r="J8" s="118" t="str">
        <x:f>'02_Delivery_Plan'!K8</x:f>
        <x:v>Benchmark and operating sections accepted in engineering</x:v>
      </x:c>
      <x:c r="K8" s="252" t="str">
        <x:f>IF(AND(K$5&lt;=$H8,K$5+6&gt;=$G8),"■","")</x:f>
        <x:v>■</x:v>
      </x:c>
      <x:c r="L8" s="252" t="str">
        <x:f>IF(AND(L$5&lt;=$H8,L$5+6&gt;=$G8),"■","")</x:f>
        <x:v>■</x:v>
      </x:c>
      <x:c r="M8" s="252" t="str">
        <x:f>IF(AND(M$5&lt;=$H8,M$5+6&gt;=$G8),"■","")</x:f>
      </x:c>
      <x:c r="N8" s="252" t="str">
        <x:f>IF(AND(N$5&lt;=$H8,N$5+6&gt;=$G8),"■","")</x:f>
      </x:c>
      <x:c r="O8" s="252" t="str">
        <x:f>IF(AND(O$5&lt;=$H8,O$5+6&gt;=$G8),"■","")</x:f>
      </x:c>
      <x:c r="P8" s="252" t="str">
        <x:f>IF(AND(P$5&lt;=$H8,P$5+6&gt;=$G8),"■","")</x:f>
      </x:c>
      <x:c r="Q8" s="252" t="str">
        <x:f>IF(AND(Q$5&lt;=$H8,Q$5+6&gt;=$G8),"■","")</x:f>
      </x:c>
      <x:c r="R8" s="252" t="str">
        <x:f>IF(AND(R$5&lt;=$H8,R$5+6&gt;=$G8),"■","")</x:f>
      </x:c>
      <x:c r="S8" s="252" t="str">
        <x:f>IF(AND(S$5&lt;=$H8,S$5+6&gt;=$G8),"■","")</x:f>
      </x:c>
      <x:c r="T8" s="252" t="str">
        <x:f>IF(AND(T$5&lt;=$H8,T$5+6&gt;=$G8),"■","")</x:f>
      </x:c>
      <x:c r="U8" s="252" t="str">
        <x:f>IF(AND(U$5&lt;=$H8,U$5+6&gt;=$G8),"■","")</x:f>
      </x:c>
      <x:c r="V8" s="252" t="str">
        <x:f>IF(AND(V$5&lt;=$H8,V$5+6&gt;=$G8),"■","")</x:f>
      </x:c>
      <x:c r="W8" s="252" t="str">
        <x:f>IF(AND(W$5&lt;=$H8,W$5+6&gt;=$G8),"■","")</x:f>
      </x:c>
      <x:c r="X8" s="252" t="str">
        <x:f>IF(AND(X$5&lt;=$H8,X$5+6&gt;=$G8),"■","")</x:f>
      </x:c>
      <x:c r="Y8" s="252" t="str">
        <x:f>IF(AND(Y$5&lt;=$H8,Y$5+6&gt;=$G8),"■","")</x:f>
      </x:c>
    </x:row>
    <x:row r="9" ht="34" customHeight="1">
      <x:c r="A9" s="118" t="str">
        <x:f>'02_Delivery_Plan'!A9</x:f>
        <x:v>DLV-004</x:v>
      </x:c>
      <x:c r="B9" s="118" t="str">
        <x:f>'02_Delivery_Plan'!B9</x:f>
        <x:v>Verified Foundation</x:v>
      </x:c>
      <x:c r="C9" s="118" t="str">
        <x:f>'02_Delivery_Plan'!D9</x:f>
        <x:v>Connect trusted AI Analyst and Saved Analysis</x:v>
      </x:c>
      <x:c r="D9" s="118" t="str">
        <x:f>'02_Delivery_Plan'!G9</x:f>
        <x:v>AI Platform</x:v>
      </x:c>
      <x:c r="E9" s="118" t="str">
        <x:f>'02_Delivery_Plan'!E9</x:f>
        <x:v>Engineering Verified</x:v>
      </x:c>
      <x:c r="F9" s="120" t="n">
        <x:f>'02_Delivery_Plan'!F9</x:f>
        <x:v>1</x:v>
      </x:c>
      <x:c r="G9" s="122" t="n">
        <x:f>'02_Delivery_Plan'!H9</x:f>
        <x:v>46237</x:v>
      </x:c>
      <x:c r="H9" s="122" t="n">
        <x:f>'02_Delivery_Plan'!I9</x:f>
        <x:v>46241</x:v>
      </x:c>
      <x:c r="I9" s="118" t="str">
        <x:f>'02_Delivery_Plan'!J9</x:f>
        <x:v>DLV-001</x:v>
      </x:c>
      <x:c r="J9" s="118" t="str">
        <x:f>'02_Delivery_Plan'!K9</x:f>
        <x:v>Scoped queries, Evidence and restore tests</x:v>
      </x:c>
      <x:c r="K9" s="252" t="str">
        <x:f>IF(AND(K$5&lt;=$H9,K$5+6&gt;=$G9),"■","")</x:f>
        <x:v>■</x:v>
      </x:c>
      <x:c r="L9" s="252" t="str">
        <x:f>IF(AND(L$5&lt;=$H9,L$5+6&gt;=$G9),"■","")</x:f>
      </x:c>
      <x:c r="M9" s="252" t="str">
        <x:f>IF(AND(M$5&lt;=$H9,M$5+6&gt;=$G9),"■","")</x:f>
      </x:c>
      <x:c r="N9" s="252" t="str">
        <x:f>IF(AND(N$5&lt;=$H9,N$5+6&gt;=$G9),"■","")</x:f>
      </x:c>
      <x:c r="O9" s="252" t="str">
        <x:f>IF(AND(O$5&lt;=$H9,O$5+6&gt;=$G9),"■","")</x:f>
      </x:c>
      <x:c r="P9" s="252" t="str">
        <x:f>IF(AND(P$5&lt;=$H9,P$5+6&gt;=$G9),"■","")</x:f>
      </x:c>
      <x:c r="Q9" s="252" t="str">
        <x:f>IF(AND(Q$5&lt;=$H9,Q$5+6&gt;=$G9),"■","")</x:f>
      </x:c>
      <x:c r="R9" s="252" t="str">
        <x:f>IF(AND(R$5&lt;=$H9,R$5+6&gt;=$G9),"■","")</x:f>
      </x:c>
      <x:c r="S9" s="252" t="str">
        <x:f>IF(AND(S$5&lt;=$H9,S$5+6&gt;=$G9),"■","")</x:f>
      </x:c>
      <x:c r="T9" s="252" t="str">
        <x:f>IF(AND(T$5&lt;=$H9,T$5+6&gt;=$G9),"■","")</x:f>
      </x:c>
      <x:c r="U9" s="252" t="str">
        <x:f>IF(AND(U$5&lt;=$H9,U$5+6&gt;=$G9),"■","")</x:f>
      </x:c>
      <x:c r="V9" s="252" t="str">
        <x:f>IF(AND(V$5&lt;=$H9,V$5+6&gt;=$G9),"■","")</x:f>
      </x:c>
      <x:c r="W9" s="252" t="str">
        <x:f>IF(AND(W$5&lt;=$H9,W$5+6&gt;=$G9),"■","")</x:f>
      </x:c>
      <x:c r="X9" s="252" t="str">
        <x:f>IF(AND(X$5&lt;=$H9,X$5+6&gt;=$G9),"■","")</x:f>
      </x:c>
      <x:c r="Y9" s="252" t="str">
        <x:f>IF(AND(Y$5&lt;=$H9,Y$5+6&gt;=$G9),"■","")</x:f>
      </x:c>
    </x:row>
    <x:row r="10" ht="34" customHeight="1">
      <x:c r="A10" s="118" t="str">
        <x:f>'02_Delivery_Plan'!A10</x:f>
        <x:v>DLV-005</x:v>
      </x:c>
      <x:c r="B10" s="118" t="str">
        <x:f>'02_Delivery_Plan'!B10</x:f>
        <x:v>Verified Foundation</x:v>
      </x:c>
      <x:c r="C10" s="118" t="str">
        <x:f>'02_Delivery_Plan'!D10</x:f>
        <x:v>Complete Preschool A to B engineering acceptance</x:v>
      </x:c>
      <x:c r="D10" s="118" t="str">
        <x:f>'02_Delivery_Plan'!G10</x:f>
        <x:v>Product + AI</x:v>
      </x:c>
      <x:c r="E10" s="118" t="str">
        <x:f>'02_Delivery_Plan'!E10</x:f>
        <x:v>Engineering Verified</x:v>
      </x:c>
      <x:c r="F10" s="120" t="n">
        <x:f>'02_Delivery_Plan'!F10</x:f>
        <x:v>1</x:v>
      </x:c>
      <x:c r="G10" s="122" t="n">
        <x:f>'02_Delivery_Plan'!H10</x:f>
        <x:v>46248</x:v>
      </x:c>
      <x:c r="H10" s="122" t="n">
        <x:f>'02_Delivery_Plan'!I10</x:f>
        <x:v>46251</x:v>
      </x:c>
      <x:c r="I10" s="118" t="str">
        <x:f>'02_Delivery_Plan'!J10</x:f>
        <x:v>DLV-003;DLV-004</x:v>
      </x:c>
      <x:c r="J10" s="118" t="str">
        <x:f>'02_Delivery_Plan'!K10</x:f>
        <x:v>Overview and AI domain change; stale Artifact rejected</x:v>
      </x:c>
      <x:c r="K10" s="252" t="str">
        <x:f>IF(AND(K$5&lt;=$H10,K$5+6&gt;=$G10),"■","")</x:f>
      </x:c>
      <x:c r="L10" s="252" t="str">
        <x:f>IF(AND(L$5&lt;=$H10,L$5+6&gt;=$G10),"■","")</x:f>
        <x:v>■</x:v>
      </x:c>
      <x:c r="M10" s="252" t="str">
        <x:f>IF(AND(M$5&lt;=$H10,M$5+6&gt;=$G10),"■","")</x:f>
        <x:v>■</x:v>
      </x:c>
      <x:c r="N10" s="252" t="str">
        <x:f>IF(AND(N$5&lt;=$H10,N$5+6&gt;=$G10),"■","")</x:f>
      </x:c>
      <x:c r="O10" s="252" t="str">
        <x:f>IF(AND(O$5&lt;=$H10,O$5+6&gt;=$G10),"■","")</x:f>
      </x:c>
      <x:c r="P10" s="252" t="str">
        <x:f>IF(AND(P$5&lt;=$H10,P$5+6&gt;=$G10),"■","")</x:f>
      </x:c>
      <x:c r="Q10" s="252" t="str">
        <x:f>IF(AND(Q$5&lt;=$H10,Q$5+6&gt;=$G10),"■","")</x:f>
      </x:c>
      <x:c r="R10" s="252" t="str">
        <x:f>IF(AND(R$5&lt;=$H10,R$5+6&gt;=$G10),"■","")</x:f>
      </x:c>
      <x:c r="S10" s="252" t="str">
        <x:f>IF(AND(S$5&lt;=$H10,S$5+6&gt;=$G10),"■","")</x:f>
      </x:c>
      <x:c r="T10" s="252" t="str">
        <x:f>IF(AND(T$5&lt;=$H10,T$5+6&gt;=$G10),"■","")</x:f>
      </x:c>
      <x:c r="U10" s="252" t="str">
        <x:f>IF(AND(U$5&lt;=$H10,U$5+6&gt;=$G10),"■","")</x:f>
      </x:c>
      <x:c r="V10" s="252" t="str">
        <x:f>IF(AND(V$5&lt;=$H10,V$5+6&gt;=$G10),"■","")</x:f>
      </x:c>
      <x:c r="W10" s="252" t="str">
        <x:f>IF(AND(W$5&lt;=$H10,W$5+6&gt;=$G10),"■","")</x:f>
      </x:c>
      <x:c r="X10" s="252" t="str">
        <x:f>IF(AND(X$5&lt;=$H10,X$5+6&gt;=$G10),"■","")</x:f>
      </x:c>
      <x:c r="Y10" s="252" t="str">
        <x:f>IF(AND(Y$5&lt;=$H10,Y$5+6&gt;=$G10),"■","")</x:f>
      </x:c>
    </x:row>
    <x:row r="11" ht="34" customHeight="1">
      <x:c r="A11" s="118" t="str">
        <x:f>'02_Delivery_Plan'!A11</x:f>
        <x:v>DLV-101</x:v>
      </x:c>
      <x:c r="B11" s="118" t="str">
        <x:f>'02_Delivery_Plan'!B11</x:f>
        <x:v>Acceptance Hardening</x:v>
      </x:c>
      <x:c r="C11" s="118" t="str">
        <x:f>'02_Delivery_Plan'!D11</x:f>
        <x:v>Human-review Preschool Key Findings</x:v>
      </x:c>
      <x:c r="D11" s="118" t="str">
        <x:f>'02_Delivery_Plan'!G11</x:f>
        <x:v>Product</x:v>
      </x:c>
      <x:c r="E11" s="118" t="str">
        <x:f>'02_Delivery_Plan'!E11</x:f>
        <x:v>Acceptance Pending</x:v>
      </x:c>
      <x:c r="F11" s="120" t="n">
        <x:f>'02_Delivery_Plan'!F11</x:f>
        <x:v>0.9</x:v>
      </x:c>
      <x:c r="G11" s="122" t="n">
        <x:f>'02_Delivery_Plan'!H11</x:f>
        <x:v>46251</x:v>
      </x:c>
      <x:c r="H11" s="122" t="n">
        <x:f>'02_Delivery_Plan'!I11</x:f>
        <x:v>46255</x:v>
      </x:c>
      <x:c r="I11" s="118" t="str">
        <x:f>'02_Delivery_Plan'!J11</x:f>
        <x:v>DLV-003</x:v>
      </x:c>
      <x:c r="J11" s="118" t="str">
        <x:f>'02_Delivery_Plan'!K11</x:f>
        <x:v>Boss can identify top conclusions in 20 seconds</x:v>
      </x:c>
      <x:c r="K11" s="256" t="str">
        <x:f>IF(AND(K$5&lt;=$H11,K$5+6&gt;=$G11),"■","")</x:f>
      </x:c>
      <x:c r="L11" s="256" t="str">
        <x:f>IF(AND(L$5&lt;=$H11,L$5+6&gt;=$G11),"■","")</x:f>
      </x:c>
      <x:c r="M11" s="256" t="str">
        <x:f>IF(AND(M$5&lt;=$H11,M$5+6&gt;=$G11),"■","")</x:f>
        <x:v>■</x:v>
      </x:c>
      <x:c r="N11" s="256" t="str">
        <x:f>IF(AND(N$5&lt;=$H11,N$5+6&gt;=$G11),"■","")</x:f>
      </x:c>
      <x:c r="O11" s="256" t="str">
        <x:f>IF(AND(O$5&lt;=$H11,O$5+6&gt;=$G11),"■","")</x:f>
      </x:c>
      <x:c r="P11" s="256" t="str">
        <x:f>IF(AND(P$5&lt;=$H11,P$5+6&gt;=$G11),"■","")</x:f>
      </x:c>
      <x:c r="Q11" s="256" t="str">
        <x:f>IF(AND(Q$5&lt;=$H11,Q$5+6&gt;=$G11),"■","")</x:f>
      </x:c>
      <x:c r="R11" s="256" t="str">
        <x:f>IF(AND(R$5&lt;=$H11,R$5+6&gt;=$G11),"■","")</x:f>
      </x:c>
      <x:c r="S11" s="256" t="str">
        <x:f>IF(AND(S$5&lt;=$H11,S$5+6&gt;=$G11),"■","")</x:f>
      </x:c>
      <x:c r="T11" s="256" t="str">
        <x:f>IF(AND(T$5&lt;=$H11,T$5+6&gt;=$G11),"■","")</x:f>
      </x:c>
      <x:c r="U11" s="256" t="str">
        <x:f>IF(AND(U$5&lt;=$H11,U$5+6&gt;=$G11),"■","")</x:f>
      </x:c>
      <x:c r="V11" s="256" t="str">
        <x:f>IF(AND(V$5&lt;=$H11,V$5+6&gt;=$G11),"■","")</x:f>
      </x:c>
      <x:c r="W11" s="256" t="str">
        <x:f>IF(AND(W$5&lt;=$H11,W$5+6&gt;=$G11),"■","")</x:f>
      </x:c>
      <x:c r="X11" s="256" t="str">
        <x:f>IF(AND(X$5&lt;=$H11,X$5+6&gt;=$G11),"■","")</x:f>
      </x:c>
      <x:c r="Y11" s="256" t="str">
        <x:f>IF(AND(Y$5&lt;=$H11,Y$5+6&gt;=$G11),"■","")</x:f>
      </x:c>
    </x:row>
    <x:row r="12" ht="34" customHeight="1">
      <x:c r="A12" s="118" t="str">
        <x:f>'02_Delivery_Plan'!A12</x:f>
        <x:v>DLV-102</x:v>
      </x:c>
      <x:c r="B12" s="118" t="str">
        <x:f>'02_Delivery_Plan'!B12</x:f>
        <x:v>Acceptance Hardening</x:v>
      </x:c>
      <x:c r="C12" s="118" t="str">
        <x:f>'02_Delivery_Plan'!D12</x:f>
        <x:v>Human-review every Preschool Section Insight</x:v>
      </x:c>
      <x:c r="D12" s="118" t="str">
        <x:f>'02_Delivery_Plan'!G12</x:f>
        <x:v>Product + Energy</x:v>
      </x:c>
      <x:c r="E12" s="118" t="str">
        <x:f>'02_Delivery_Plan'!E12</x:f>
        <x:v>Acceptance Pending</x:v>
      </x:c>
      <x:c r="F12" s="120" t="n">
        <x:f>'02_Delivery_Plan'!F12</x:f>
        <x:v>0.9</x:v>
      </x:c>
      <x:c r="G12" s="122" t="n">
        <x:f>'02_Delivery_Plan'!H12</x:f>
        <x:v>46251</x:v>
      </x:c>
      <x:c r="H12" s="122" t="n">
        <x:f>'02_Delivery_Plan'!I12</x:f>
        <x:v>46258</x:v>
      </x:c>
      <x:c r="I12" s="118" t="str">
        <x:f>'02_Delivery_Plan'!J12</x:f>
        <x:v>DLV-003</x:v>
      </x:c>
      <x:c r="J12" s="118" t="str">
        <x:f>'02_Delivery_Plan'!K12</x:f>
        <x:v>Summary is direct; Insights add a worthwhile angle</x:v>
      </x:c>
      <x:c r="K12" s="256" t="str">
        <x:f>IF(AND(K$5&lt;=$H12,K$5+6&gt;=$G12),"■","")</x:f>
      </x:c>
      <x:c r="L12" s="256" t="str">
        <x:f>IF(AND(L$5&lt;=$H12,L$5+6&gt;=$G12),"■","")</x:f>
      </x:c>
      <x:c r="M12" s="256" t="str">
        <x:f>IF(AND(M$5&lt;=$H12,M$5+6&gt;=$G12),"■","")</x:f>
        <x:v>■</x:v>
      </x:c>
      <x:c r="N12" s="256" t="str">
        <x:f>IF(AND(N$5&lt;=$H12,N$5+6&gt;=$G12),"■","")</x:f>
        <x:v>■</x:v>
      </x:c>
      <x:c r="O12" s="256" t="str">
        <x:f>IF(AND(O$5&lt;=$H12,O$5+6&gt;=$G12),"■","")</x:f>
      </x:c>
      <x:c r="P12" s="256" t="str">
        <x:f>IF(AND(P$5&lt;=$H12,P$5+6&gt;=$G12),"■","")</x:f>
      </x:c>
      <x:c r="Q12" s="256" t="str">
        <x:f>IF(AND(Q$5&lt;=$H12,Q$5+6&gt;=$G12),"■","")</x:f>
      </x:c>
      <x:c r="R12" s="256" t="str">
        <x:f>IF(AND(R$5&lt;=$H12,R$5+6&gt;=$G12),"■","")</x:f>
      </x:c>
      <x:c r="S12" s="256" t="str">
        <x:f>IF(AND(S$5&lt;=$H12,S$5+6&gt;=$G12),"■","")</x:f>
      </x:c>
      <x:c r="T12" s="256" t="str">
        <x:f>IF(AND(T$5&lt;=$H12,T$5+6&gt;=$G12),"■","")</x:f>
      </x:c>
      <x:c r="U12" s="256" t="str">
        <x:f>IF(AND(U$5&lt;=$H12,U$5+6&gt;=$G12),"■","")</x:f>
      </x:c>
      <x:c r="V12" s="256" t="str">
        <x:f>IF(AND(V$5&lt;=$H12,V$5+6&gt;=$G12),"■","")</x:f>
      </x:c>
      <x:c r="W12" s="256" t="str">
        <x:f>IF(AND(W$5&lt;=$H12,W$5+6&gt;=$G12),"■","")</x:f>
      </x:c>
      <x:c r="X12" s="256" t="str">
        <x:f>IF(AND(X$5&lt;=$H12,X$5+6&gt;=$G12),"■","")</x:f>
      </x:c>
      <x:c r="Y12" s="256" t="str">
        <x:f>IF(AND(Y$5&lt;=$H12,Y$5+6&gt;=$G12),"■","")</x:f>
      </x:c>
    </x:row>
    <x:row r="13" ht="34" customHeight="1">
      <x:c r="A13" s="118" t="str">
        <x:f>'02_Delivery_Plan'!A13</x:f>
        <x:v>DLV-103</x:v>
      </x:c>
      <x:c r="B13" s="118" t="str">
        <x:f>'02_Delivery_Plan'!B13</x:f>
        <x:v>Acceptance Hardening</x:v>
      </x:c>
      <x:c r="C13" s="118" t="str">
        <x:f>'02_Delivery_Plan'!D13</x:f>
        <x:v>Approve and publish useful Additional Insights</x:v>
      </x:c>
      <x:c r="D13" s="118" t="str">
        <x:f>'02_Delivery_Plan'!G13</x:f>
        <x:v>Energy + AI</x:v>
      </x:c>
      <x:c r="E13" s="118" t="str">
        <x:f>'02_Delivery_Plan'!E13</x:f>
        <x:v>Acceptance Pending</x:v>
      </x:c>
      <x:c r="F13" s="120" t="n">
        <x:f>'02_Delivery_Plan'!F13</x:f>
        <x:v>0.9</x:v>
      </x:c>
      <x:c r="G13" s="122" t="n">
        <x:f>'02_Delivery_Plan'!H13</x:f>
        <x:v>46251</x:v>
      </x:c>
      <x:c r="H13" s="122" t="n">
        <x:f>'02_Delivery_Plan'!I13</x:f>
        <x:v>46258</x:v>
      </x:c>
      <x:c r="I13" s="118" t="str">
        <x:f>'02_Delivery_Plan'!J13</x:f>
        <x:v>DLV-004</x:v>
      </x:c>
      <x:c r="J13" s="118" t="str">
        <x:f>'02_Delivery_Plan'!K13</x:f>
        <x:v>Fact, inference and speculation remain honestly separated</x:v>
      </x:c>
      <x:c r="K13" s="256" t="str">
        <x:f>IF(AND(K$5&lt;=$H13,K$5+6&gt;=$G13),"■","")</x:f>
      </x:c>
      <x:c r="L13" s="256" t="str">
        <x:f>IF(AND(L$5&lt;=$H13,L$5+6&gt;=$G13),"■","")</x:f>
      </x:c>
      <x:c r="M13" s="256" t="str">
        <x:f>IF(AND(M$5&lt;=$H13,M$5+6&gt;=$G13),"■","")</x:f>
        <x:v>■</x:v>
      </x:c>
      <x:c r="N13" s="256" t="str">
        <x:f>IF(AND(N$5&lt;=$H13,N$5+6&gt;=$G13),"■","")</x:f>
        <x:v>■</x:v>
      </x:c>
      <x:c r="O13" s="256" t="str">
        <x:f>IF(AND(O$5&lt;=$H13,O$5+6&gt;=$G13),"■","")</x:f>
      </x:c>
      <x:c r="P13" s="256" t="str">
        <x:f>IF(AND(P$5&lt;=$H13,P$5+6&gt;=$G13),"■","")</x:f>
      </x:c>
      <x:c r="Q13" s="256" t="str">
        <x:f>IF(AND(Q$5&lt;=$H13,Q$5+6&gt;=$G13),"■","")</x:f>
      </x:c>
      <x:c r="R13" s="256" t="str">
        <x:f>IF(AND(R$5&lt;=$H13,R$5+6&gt;=$G13),"■","")</x:f>
      </x:c>
      <x:c r="S13" s="256" t="str">
        <x:f>IF(AND(S$5&lt;=$H13,S$5+6&gt;=$G13),"■","")</x:f>
      </x:c>
      <x:c r="T13" s="256" t="str">
        <x:f>IF(AND(T$5&lt;=$H13,T$5+6&gt;=$G13),"■","")</x:f>
      </x:c>
      <x:c r="U13" s="256" t="str">
        <x:f>IF(AND(U$5&lt;=$H13,U$5+6&gt;=$G13),"■","")</x:f>
      </x:c>
      <x:c r="V13" s="256" t="str">
        <x:f>IF(AND(V$5&lt;=$H13,V$5+6&gt;=$G13),"■","")</x:f>
      </x:c>
      <x:c r="W13" s="256" t="str">
        <x:f>IF(AND(W$5&lt;=$H13,W$5+6&gt;=$G13),"■","")</x:f>
      </x:c>
      <x:c r="X13" s="256" t="str">
        <x:f>IF(AND(X$5&lt;=$H13,X$5+6&gt;=$G13),"■","")</x:f>
      </x:c>
      <x:c r="Y13" s="256" t="str">
        <x:f>IF(AND(Y$5&lt;=$H13,Y$5+6&gt;=$G13),"■","")</x:f>
      </x:c>
    </x:row>
    <x:row r="14" ht="34" customHeight="1">
      <x:c r="A14" s="118" t="str">
        <x:f>'02_Delivery_Plan'!A14</x:f>
        <x:v>DLV-104</x:v>
      </x:c>
      <x:c r="B14" s="118" t="str">
        <x:f>'02_Delivery_Plan'!B14</x:f>
        <x:v>Acceptance Hardening</x:v>
      </x:c>
      <x:c r="C14" s="118" t="str">
        <x:f>'02_Delivery_Plan'!D14</x:f>
        <x:v>Run Charles and Ngee multi-account browser acceptance</x:v>
      </x:c>
      <x:c r="D14" s="118" t="str">
        <x:f>'02_Delivery_Plan'!G14</x:f>
        <x:v>QA + Ops</x:v>
      </x:c>
      <x:c r="E14" s="118" t="str">
        <x:f>'02_Delivery_Plan'!E14</x:f>
        <x:v>Acceptance Pending</x:v>
      </x:c>
      <x:c r="F14" s="120" t="n">
        <x:f>'02_Delivery_Plan'!F14</x:f>
        <x:v>0.7</x:v>
      </x:c>
      <x:c r="G14" s="122" t="n">
        <x:f>'02_Delivery_Plan'!H14</x:f>
        <x:v>46251</x:v>
      </x:c>
      <x:c r="H14" s="122" t="n">
        <x:f>'02_Delivery_Plan'!I14</x:f>
        <x:v>46258</x:v>
      </x:c>
      <x:c r="I14" s="118" t="str">
        <x:f>'02_Delivery_Plan'!J14</x:f>
        <x:v>DLV-002;DLV-003</x:v>
      </x:c>
      <x:c r="J14" s="118" t="str">
        <x:f>'02_Delivery_Plan'!K14</x:f>
        <x:v>Admin sees all; Ngee account sees Ngee only; AI works</x:v>
      </x:c>
      <x:c r="K14" s="256" t="str">
        <x:f>IF(AND(K$5&lt;=$H14,K$5+6&gt;=$G14),"■","")</x:f>
      </x:c>
      <x:c r="L14" s="256" t="str">
        <x:f>IF(AND(L$5&lt;=$H14,L$5+6&gt;=$G14),"■","")</x:f>
      </x:c>
      <x:c r="M14" s="256" t="str">
        <x:f>IF(AND(M$5&lt;=$H14,M$5+6&gt;=$G14),"■","")</x:f>
        <x:v>■</x:v>
      </x:c>
      <x:c r="N14" s="256" t="str">
        <x:f>IF(AND(N$5&lt;=$H14,N$5+6&gt;=$G14),"■","")</x:f>
        <x:v>■</x:v>
      </x:c>
      <x:c r="O14" s="256" t="str">
        <x:f>IF(AND(O$5&lt;=$H14,O$5+6&gt;=$G14),"■","")</x:f>
      </x:c>
      <x:c r="P14" s="256" t="str">
        <x:f>IF(AND(P$5&lt;=$H14,P$5+6&gt;=$G14),"■","")</x:f>
      </x:c>
      <x:c r="Q14" s="256" t="str">
        <x:f>IF(AND(Q$5&lt;=$H14,Q$5+6&gt;=$G14),"■","")</x:f>
      </x:c>
      <x:c r="R14" s="256" t="str">
        <x:f>IF(AND(R$5&lt;=$H14,R$5+6&gt;=$G14),"■","")</x:f>
      </x:c>
      <x:c r="S14" s="256" t="str">
        <x:f>IF(AND(S$5&lt;=$H14,S$5+6&gt;=$G14),"■","")</x:f>
      </x:c>
      <x:c r="T14" s="256" t="str">
        <x:f>IF(AND(T$5&lt;=$H14,T$5+6&gt;=$G14),"■","")</x:f>
      </x:c>
      <x:c r="U14" s="256" t="str">
        <x:f>IF(AND(U$5&lt;=$H14,U$5+6&gt;=$G14),"■","")</x:f>
      </x:c>
      <x:c r="V14" s="256" t="str">
        <x:f>IF(AND(V$5&lt;=$H14,V$5+6&gt;=$G14),"■","")</x:f>
      </x:c>
      <x:c r="W14" s="256" t="str">
        <x:f>IF(AND(W$5&lt;=$H14,W$5+6&gt;=$G14),"■","")</x:f>
      </x:c>
      <x:c r="X14" s="256" t="str">
        <x:f>IF(AND(X$5&lt;=$H14,X$5+6&gt;=$G14),"■","")</x:f>
      </x:c>
      <x:c r="Y14" s="256" t="str">
        <x:f>IF(AND(Y$5&lt;=$H14,Y$5+6&gt;=$G14),"■","")</x:f>
      </x:c>
    </x:row>
    <x:row r="15" ht="34" customHeight="1">
      <x:c r="A15" s="118" t="str">
        <x:f>'02_Delivery_Plan'!A15</x:f>
        <x:v>DLV-105</x:v>
      </x:c>
      <x:c r="B15" s="118" t="str">
        <x:f>'02_Delivery_Plan'!B15</x:f>
        <x:v>Acceptance Hardening</x:v>
      </x:c>
      <x:c r="C15" s="118" t="str">
        <x:f>'02_Delivery_Plan'!D15</x:f>
        <x:v>Accept Admin AI Operations and Finding trace</x:v>
      </x:c>
      <x:c r="D15" s="118" t="str">
        <x:f>'02_Delivery_Plan'!G15</x:f>
        <x:v>Admin Product</x:v>
      </x:c>
      <x:c r="E15" s="118" t="str">
        <x:f>'02_Delivery_Plan'!E15</x:f>
        <x:v>Acceptance Pending</x:v>
      </x:c>
      <x:c r="F15" s="120" t="n">
        <x:f>'02_Delivery_Plan'!F15</x:f>
        <x:v>0.7</x:v>
      </x:c>
      <x:c r="G15" s="122" t="n">
        <x:f>'02_Delivery_Plan'!H15</x:f>
        <x:v>46251</x:v>
      </x:c>
      <x:c r="H15" s="122" t="n">
        <x:f>'02_Delivery_Plan'!I15</x:f>
        <x:v>46262</x:v>
      </x:c>
      <x:c r="I15" s="118" t="str">
        <x:f>'02_Delivery_Plan'!J15</x:f>
        <x:v>CAP-09</x:v>
      </x:c>
      <x:c r="J15" s="118" t="str">
        <x:f>'02_Delivery_Plan'!K15</x:f>
        <x:v>Available vs used is clear; no GET triggers Provider</x:v>
      </x:c>
      <x:c r="K15" s="256" t="str">
        <x:f>IF(AND(K$5&lt;=$H15,K$5+6&gt;=$G15),"■","")</x:f>
      </x:c>
      <x:c r="L15" s="256" t="str">
        <x:f>IF(AND(L$5&lt;=$H15,L$5+6&gt;=$G15),"■","")</x:f>
      </x:c>
      <x:c r="M15" s="256" t="str">
        <x:f>IF(AND(M$5&lt;=$H15,M$5+6&gt;=$G15),"■","")</x:f>
        <x:v>■</x:v>
      </x:c>
      <x:c r="N15" s="256" t="str">
        <x:f>IF(AND(N$5&lt;=$H15,N$5+6&gt;=$G15),"■","")</x:f>
        <x:v>■</x:v>
      </x:c>
      <x:c r="O15" s="256" t="str">
        <x:f>IF(AND(O$5&lt;=$H15,O$5+6&gt;=$G15),"■","")</x:f>
      </x:c>
      <x:c r="P15" s="256" t="str">
        <x:f>IF(AND(P$5&lt;=$H15,P$5+6&gt;=$G15),"■","")</x:f>
      </x:c>
      <x:c r="Q15" s="256" t="str">
        <x:f>IF(AND(Q$5&lt;=$H15,Q$5+6&gt;=$G15),"■","")</x:f>
      </x:c>
      <x:c r="R15" s="256" t="str">
        <x:f>IF(AND(R$5&lt;=$H15,R$5+6&gt;=$G15),"■","")</x:f>
      </x:c>
      <x:c r="S15" s="256" t="str">
        <x:f>IF(AND(S$5&lt;=$H15,S$5+6&gt;=$G15),"■","")</x:f>
      </x:c>
      <x:c r="T15" s="256" t="str">
        <x:f>IF(AND(T$5&lt;=$H15,T$5+6&gt;=$G15),"■","")</x:f>
      </x:c>
      <x:c r="U15" s="256" t="str">
        <x:f>IF(AND(U$5&lt;=$H15,U$5+6&gt;=$G15),"■","")</x:f>
      </x:c>
      <x:c r="V15" s="256" t="str">
        <x:f>IF(AND(V$5&lt;=$H15,V$5+6&gt;=$G15),"■","")</x:f>
      </x:c>
      <x:c r="W15" s="256" t="str">
        <x:f>IF(AND(W$5&lt;=$H15,W$5+6&gt;=$G15),"■","")</x:f>
      </x:c>
      <x:c r="X15" s="256" t="str">
        <x:f>IF(AND(X$5&lt;=$H15,X$5+6&gt;=$G15),"■","")</x:f>
      </x:c>
      <x:c r="Y15" s="256" t="str">
        <x:f>IF(AND(Y$5&lt;=$H15,Y$5+6&gt;=$G15),"■","")</x:f>
      </x:c>
    </x:row>
    <x:row r="16" ht="34" customHeight="1">
      <x:c r="A16" s="118" t="str">
        <x:f>'02_Delivery_Plan'!A16</x:f>
        <x:v>DLV-106</x:v>
      </x:c>
      <x:c r="B16" s="118" t="str">
        <x:f>'02_Delivery_Plan'!B16</x:f>
        <x:v>Acceptance Hardening</x:v>
      </x:c>
      <x:c r="C16" s="118" t="str">
        <x:f>'02_Delivery_Plan'!D16</x:f>
        <x:v>Publish pilot runbook and rollback evidence</x:v>
      </x:c>
      <x:c r="D16" s="118" t="str">
        <x:f>'02_Delivery_Plan'!G16</x:f>
        <x:v>Ops</x:v>
      </x:c>
      <x:c r="E16" s="118" t="str">
        <x:f>'02_Delivery_Plan'!E16</x:f>
        <x:v>In Progress</x:v>
      </x:c>
      <x:c r="F16" s="120" t="n">
        <x:f>'02_Delivery_Plan'!F16</x:f>
        <x:v>0.55</x:v>
      </x:c>
      <x:c r="G16" s="122" t="n">
        <x:f>'02_Delivery_Plan'!H16</x:f>
        <x:v>46254</x:v>
      </x:c>
      <x:c r="H16" s="122" t="n">
        <x:f>'02_Delivery_Plan'!I16</x:f>
        <x:v>46262</x:v>
      </x:c>
      <x:c r="I16" s="118" t="str">
        <x:f>'02_Delivery_Plan'!J16</x:f>
        <x:v>DLV-104</x:v>
      </x:c>
      <x:c r="J16" s="118" t="str">
        <x:f>'02_Delivery_Plan'!K16</x:f>
        <x:v>Health, backup, rollback and account runbook accepted</x:v>
      </x:c>
      <x:c r="K16" s="256" t="str">
        <x:f>IF(AND(K$5&lt;=$H16,K$5+6&gt;=$G16),"■","")</x:f>
      </x:c>
      <x:c r="L16" s="256" t="str">
        <x:f>IF(AND(L$5&lt;=$H16,L$5+6&gt;=$G16),"■","")</x:f>
      </x:c>
      <x:c r="M16" s="256" t="str">
        <x:f>IF(AND(M$5&lt;=$H16,M$5+6&gt;=$G16),"■","")</x:f>
        <x:v>■</x:v>
      </x:c>
      <x:c r="N16" s="256" t="str">
        <x:f>IF(AND(N$5&lt;=$H16,N$5+6&gt;=$G16),"■","")</x:f>
        <x:v>■</x:v>
      </x:c>
      <x:c r="O16" s="256" t="str">
        <x:f>IF(AND(O$5&lt;=$H16,O$5+6&gt;=$G16),"■","")</x:f>
      </x:c>
      <x:c r="P16" s="256" t="str">
        <x:f>IF(AND(P$5&lt;=$H16,P$5+6&gt;=$G16),"■","")</x:f>
      </x:c>
      <x:c r="Q16" s="256" t="str">
        <x:f>IF(AND(Q$5&lt;=$H16,Q$5+6&gt;=$G16),"■","")</x:f>
      </x:c>
      <x:c r="R16" s="256" t="str">
        <x:f>IF(AND(R$5&lt;=$H16,R$5+6&gt;=$G16),"■","")</x:f>
      </x:c>
      <x:c r="S16" s="256" t="str">
        <x:f>IF(AND(S$5&lt;=$H16,S$5+6&gt;=$G16),"■","")</x:f>
      </x:c>
      <x:c r="T16" s="256" t="str">
        <x:f>IF(AND(T$5&lt;=$H16,T$5+6&gt;=$G16),"■","")</x:f>
      </x:c>
      <x:c r="U16" s="256" t="str">
        <x:f>IF(AND(U$5&lt;=$H16,U$5+6&gt;=$G16),"■","")</x:f>
      </x:c>
      <x:c r="V16" s="256" t="str">
        <x:f>IF(AND(V$5&lt;=$H16,V$5+6&gt;=$G16),"■","")</x:f>
      </x:c>
      <x:c r="W16" s="256" t="str">
        <x:f>IF(AND(W$5&lt;=$H16,W$5+6&gt;=$G16),"■","")</x:f>
      </x:c>
      <x:c r="X16" s="256" t="str">
        <x:f>IF(AND(X$5&lt;=$H16,X$5+6&gt;=$G16),"■","")</x:f>
      </x:c>
      <x:c r="Y16" s="256" t="str">
        <x:f>IF(AND(Y$5&lt;=$H16,Y$5+6&gt;=$G16),"■","")</x:f>
      </x:c>
    </x:row>
    <x:row r="17" ht="34" customHeight="1">
      <x:c r="A17" s="118" t="str">
        <x:f>'02_Delivery_Plan'!A17</x:f>
        <x:v>DLV-201</x:v>
      </x:c>
      <x:c r="B17" s="118" t="str">
        <x:f>'02_Delivery_Plan'!B17</x:f>
        <x:v>Cross-project AI</x:v>
      </x:c>
      <x:c r="C17" s="118" t="str">
        <x:f>'02_Delivery_Plan'!D17</x:f>
        <x:v>Close Ngee Ann server-persisted Layer 1-3 Adapter</x:v>
      </x:c>
      <x:c r="D17" s="118" t="str">
        <x:f>'02_Delivery_Plan'!G17</x:f>
        <x:v>AI Platform</x:v>
      </x:c>
      <x:c r="E17" s="118" t="str">
        <x:f>'02_Delivery_Plan'!E17</x:f>
        <x:v>In Progress</x:v>
      </x:c>
      <x:c r="F17" s="120" t="n">
        <x:f>'02_Delivery_Plan'!F17</x:f>
        <x:v>0.85</x:v>
      </x:c>
      <x:c r="G17" s="122" t="n">
        <x:f>'02_Delivery_Plan'!H17</x:f>
        <x:v>46249</x:v>
      </x:c>
      <x:c r="H17" s="122" t="n">
        <x:f>'02_Delivery_Plan'!I17</x:f>
        <x:v>46262</x:v>
      </x:c>
      <x:c r="I17" s="118" t="str">
        <x:f>'02_Delivery_Plan'!J17</x:f>
        <x:v>DLV-002;DLV-004</x:v>
      </x:c>
      <x:c r="J17" s="118" t="str">
        <x:f>'02_Delivery_Plan'!K17</x:f>
        <x:v>Saved/live restore exact; normal page open starts zero Provider runs</x:v>
      </x:c>
      <x:c r="K17" s="256" t="str">
        <x:f>IF(AND(K$5&lt;=$H17,K$5+6&gt;=$G17),"■","")</x:f>
      </x:c>
      <x:c r="L17" s="256" t="str">
        <x:f>IF(AND(L$5&lt;=$H17,L$5+6&gt;=$G17),"■","")</x:f>
        <x:v>■</x:v>
      </x:c>
      <x:c r="M17" s="256" t="str">
        <x:f>IF(AND(M$5&lt;=$H17,M$5+6&gt;=$G17),"■","")</x:f>
        <x:v>■</x:v>
      </x:c>
      <x:c r="N17" s="256" t="str">
        <x:f>IF(AND(N$5&lt;=$H17,N$5+6&gt;=$G17),"■","")</x:f>
        <x:v>■</x:v>
      </x:c>
      <x:c r="O17" s="256" t="str">
        <x:f>IF(AND(O$5&lt;=$H17,O$5+6&gt;=$G17),"■","")</x:f>
      </x:c>
      <x:c r="P17" s="256" t="str">
        <x:f>IF(AND(P$5&lt;=$H17,P$5+6&gt;=$G17),"■","")</x:f>
      </x:c>
      <x:c r="Q17" s="256" t="str">
        <x:f>IF(AND(Q$5&lt;=$H17,Q$5+6&gt;=$G17),"■","")</x:f>
      </x:c>
      <x:c r="R17" s="256" t="str">
        <x:f>IF(AND(R$5&lt;=$H17,R$5+6&gt;=$G17),"■","")</x:f>
      </x:c>
      <x:c r="S17" s="256" t="str">
        <x:f>IF(AND(S$5&lt;=$H17,S$5+6&gt;=$G17),"■","")</x:f>
      </x:c>
      <x:c r="T17" s="256" t="str">
        <x:f>IF(AND(T$5&lt;=$H17,T$5+6&gt;=$G17),"■","")</x:f>
      </x:c>
      <x:c r="U17" s="256" t="str">
        <x:f>IF(AND(U$5&lt;=$H17,U$5+6&gt;=$G17),"■","")</x:f>
      </x:c>
      <x:c r="V17" s="256" t="str">
        <x:f>IF(AND(V$5&lt;=$H17,V$5+6&gt;=$G17),"■","")</x:f>
      </x:c>
      <x:c r="W17" s="256" t="str">
        <x:f>IF(AND(W$5&lt;=$H17,W$5+6&gt;=$G17),"■","")</x:f>
      </x:c>
      <x:c r="X17" s="256" t="str">
        <x:f>IF(AND(X$5&lt;=$H17,X$5+6&gt;=$G17),"■","")</x:f>
      </x:c>
      <x:c r="Y17" s="256" t="str">
        <x:f>IF(AND(Y$5&lt;=$H17,Y$5+6&gt;=$G17),"■","")</x:f>
      </x:c>
    </x:row>
    <x:row r="18" ht="34" customHeight="1">
      <x:c r="A18" s="118" t="str">
        <x:f>'02_Delivery_Plan'!A18</x:f>
        <x:v>DLV-202</x:v>
      </x:c>
      <x:c r="B18" s="118" t="str">
        <x:f>'02_Delivery_Plan'!B18</x:f>
        <x:v>Cross-project AI</x:v>
      </x:c>
      <x:c r="C18" s="118" t="str">
        <x:f>'02_Delivery_Plan'!D18</x:f>
        <x:v>Run real Ngee Ann Snapshot A to B</x:v>
      </x:c>
      <x:c r="D18" s="118" t="str">
        <x:f>'02_Delivery_Plan'!G18</x:f>
        <x:v>Product + AI</x:v>
      </x:c>
      <x:c r="E18" s="118" t="str">
        <x:f>'02_Delivery_Plan'!E18</x:f>
        <x:v>Planned</x:v>
      </x:c>
      <x:c r="F18" s="120" t="n">
        <x:f>'02_Delivery_Plan'!F18</x:f>
        <x:v>0.15</x:v>
      </x:c>
      <x:c r="G18" s="122" t="n">
        <x:f>'02_Delivery_Plan'!H18</x:f>
        <x:v>46265</x:v>
      </x:c>
      <x:c r="H18" s="122" t="n">
        <x:f>'02_Delivery_Plan'!I18</x:f>
        <x:v>46276</x:v>
      </x:c>
      <x:c r="I18" s="118" t="str">
        <x:f>'02_Delivery_Plan'!J18</x:f>
        <x:v>DLV-201</x:v>
      </x:c>
      <x:c r="J18" s="118" t="str">
        <x:f>'02_Delivery_Plan'!K18</x:f>
        <x:v>Retained, updated, new and removed conclusions are visible</x:v>
      </x:c>
      <x:c r="K18" s="260" t="str">
        <x:f>IF(AND(K$5&lt;=$H18,K$5+6&gt;=$G18),"■","")</x:f>
      </x:c>
      <x:c r="L18" s="260" t="str">
        <x:f>IF(AND(L$5&lt;=$H18,L$5+6&gt;=$G18),"■","")</x:f>
      </x:c>
      <x:c r="M18" s="260" t="str">
        <x:f>IF(AND(M$5&lt;=$H18,M$5+6&gt;=$G18),"■","")</x:f>
      </x:c>
      <x:c r="N18" s="260" t="str">
        <x:f>IF(AND(N$5&lt;=$H18,N$5+6&gt;=$G18),"■","")</x:f>
      </x:c>
      <x:c r="O18" s="260" t="str">
        <x:f>IF(AND(O$5&lt;=$H18,O$5+6&gt;=$G18),"■","")</x:f>
        <x:v>■</x:v>
      </x:c>
      <x:c r="P18" s="260" t="str">
        <x:f>IF(AND(P$5&lt;=$H18,P$5+6&gt;=$G18),"■","")</x:f>
        <x:v>■</x:v>
      </x:c>
      <x:c r="Q18" s="260" t="str">
        <x:f>IF(AND(Q$5&lt;=$H18,Q$5+6&gt;=$G18),"■","")</x:f>
      </x:c>
      <x:c r="R18" s="260" t="str">
        <x:f>IF(AND(R$5&lt;=$H18,R$5+6&gt;=$G18),"■","")</x:f>
      </x:c>
      <x:c r="S18" s="260" t="str">
        <x:f>IF(AND(S$5&lt;=$H18,S$5+6&gt;=$G18),"■","")</x:f>
      </x:c>
      <x:c r="T18" s="260" t="str">
        <x:f>IF(AND(T$5&lt;=$H18,T$5+6&gt;=$G18),"■","")</x:f>
      </x:c>
      <x:c r="U18" s="260" t="str">
        <x:f>IF(AND(U$5&lt;=$H18,U$5+6&gt;=$G18),"■","")</x:f>
      </x:c>
      <x:c r="V18" s="260" t="str">
        <x:f>IF(AND(V$5&lt;=$H18,V$5+6&gt;=$G18),"■","")</x:f>
      </x:c>
      <x:c r="W18" s="260" t="str">
        <x:f>IF(AND(W$5&lt;=$H18,W$5+6&gt;=$G18),"■","")</x:f>
      </x:c>
      <x:c r="X18" s="260" t="str">
        <x:f>IF(AND(X$5&lt;=$H18,X$5+6&gt;=$G18),"■","")</x:f>
      </x:c>
      <x:c r="Y18" s="260" t="str">
        <x:f>IF(AND(Y$5&lt;=$H18,Y$5+6&gt;=$G18),"■","")</x:f>
      </x:c>
    </x:row>
    <x:row r="19" ht="34" customHeight="1">
      <x:c r="A19" s="118" t="str">
        <x:f>'02_Delivery_Plan'!A19</x:f>
        <x:v>DLV-203</x:v>
      </x:c>
      <x:c r="B19" s="118" t="str">
        <x:f>'02_Delivery_Plan'!B19</x:f>
        <x:v>Cross-project AI</x:v>
      </x:c>
      <x:c r="C19" s="118" t="str">
        <x:f>'02_Delivery_Plan'!D19</x:f>
        <x:v>Document common adapter and project-specific pack boundary</x:v>
      </x:c>
      <x:c r="D19" s="118" t="str">
        <x:f>'02_Delivery_Plan'!G19</x:f>
        <x:v>Architecture</x:v>
      </x:c>
      <x:c r="E19" s="118" t="str">
        <x:f>'02_Delivery_Plan'!E19</x:f>
        <x:v>Planned</x:v>
      </x:c>
      <x:c r="F19" s="120" t="n">
        <x:f>'02_Delivery_Plan'!F19</x:f>
        <x:v>0.2</x:v>
      </x:c>
      <x:c r="G19" s="122" t="n">
        <x:f>'02_Delivery_Plan'!H19</x:f>
        <x:v>46272</x:v>
      </x:c>
      <x:c r="H19" s="122" t="n">
        <x:f>'02_Delivery_Plan'!I19</x:f>
        <x:v>46283</x:v>
      </x:c>
      <x:c r="I19" s="118" t="str">
        <x:f>'02_Delivery_Plan'!J19</x:f>
        <x:v>DLV-201;DLV-202</x:v>
      </x:c>
      <x:c r="J19" s="118" t="str">
        <x:f>'02_Delivery_Plan'!K19</x:f>
        <x:v>A third project can implement the contract without copying sections</x:v>
      </x:c>
      <x:c r="K19" s="260" t="str">
        <x:f>IF(AND(K$5&lt;=$H19,K$5+6&gt;=$G19),"■","")</x:f>
      </x:c>
      <x:c r="L19" s="260" t="str">
        <x:f>IF(AND(L$5&lt;=$H19,L$5+6&gt;=$G19),"■","")</x:f>
      </x:c>
      <x:c r="M19" s="260" t="str">
        <x:f>IF(AND(M$5&lt;=$H19,M$5+6&gt;=$G19),"■","")</x:f>
      </x:c>
      <x:c r="N19" s="260" t="str">
        <x:f>IF(AND(N$5&lt;=$H19,N$5+6&gt;=$G19),"■","")</x:f>
      </x:c>
      <x:c r="O19" s="260" t="str">
        <x:f>IF(AND(O$5&lt;=$H19,O$5+6&gt;=$G19),"■","")</x:f>
      </x:c>
      <x:c r="P19" s="260" t="str">
        <x:f>IF(AND(P$5&lt;=$H19,P$5+6&gt;=$G19),"■","")</x:f>
        <x:v>■</x:v>
      </x:c>
      <x:c r="Q19" s="260" t="str">
        <x:f>IF(AND(Q$5&lt;=$H19,Q$5+6&gt;=$G19),"■","")</x:f>
        <x:v>■</x:v>
      </x:c>
      <x:c r="R19" s="260" t="str">
        <x:f>IF(AND(R$5&lt;=$H19,R$5+6&gt;=$G19),"■","")</x:f>
      </x:c>
      <x:c r="S19" s="260" t="str">
        <x:f>IF(AND(S$5&lt;=$H19,S$5+6&gt;=$G19),"■","")</x:f>
      </x:c>
      <x:c r="T19" s="260" t="str">
        <x:f>IF(AND(T$5&lt;=$H19,T$5+6&gt;=$G19),"■","")</x:f>
      </x:c>
      <x:c r="U19" s="260" t="str">
        <x:f>IF(AND(U$5&lt;=$H19,U$5+6&gt;=$G19),"■","")</x:f>
      </x:c>
      <x:c r="V19" s="260" t="str">
        <x:f>IF(AND(V$5&lt;=$H19,V$5+6&gt;=$G19),"■","")</x:f>
      </x:c>
      <x:c r="W19" s="260" t="str">
        <x:f>IF(AND(W$5&lt;=$H19,W$5+6&gt;=$G19),"■","")</x:f>
      </x:c>
      <x:c r="X19" s="260" t="str">
        <x:f>IF(AND(X$5&lt;=$H19,X$5+6&gt;=$G19),"■","")</x:f>
      </x:c>
      <x:c r="Y19" s="260" t="str">
        <x:f>IF(AND(Y$5&lt;=$H19,Y$5+6&gt;=$G19),"■","")</x:f>
      </x:c>
    </x:row>
    <x:row r="20" ht="34" customHeight="1">
      <x:c r="A20" s="118" t="str">
        <x:f>'02_Delivery_Plan'!A20</x:f>
        <x:v>DLV-301</x:v>
      </x:c>
      <x:c r="B20" s="118" t="str">
        <x:f>'02_Delivery_Plan'!B20</x:f>
        <x:v>Learning Loop</x:v>
      </x:c>
      <x:c r="C20" s="118" t="str">
        <x:f>'02_Delivery_Plan'!D20</x:f>
        <x:v>Capture usefulness, novelty, clarity and Explore events</x:v>
      </x:c>
      <x:c r="D20" s="118" t="str">
        <x:f>'02_Delivery_Plan'!G20</x:f>
        <x:v>Product Analytics</x:v>
      </x:c>
      <x:c r="E20" s="118" t="str">
        <x:f>'02_Delivery_Plan'!E20</x:f>
        <x:v>Planned</x:v>
      </x:c>
      <x:c r="F20" s="120" t="n">
        <x:f>'02_Delivery_Plan'!F20</x:f>
        <x:v>0.1</x:v>
      </x:c>
      <x:c r="G20" s="122" t="n">
        <x:f>'02_Delivery_Plan'!H20</x:f>
        <x:v>46286</x:v>
      </x:c>
      <x:c r="H20" s="122" t="n">
        <x:f>'02_Delivery_Plan'!I20</x:f>
        <x:v>46297</x:v>
      </x:c>
      <x:c r="I20" s="118" t="str">
        <x:f>'02_Delivery_Plan'!J20</x:f>
        <x:v>DLV-102;DLV-202</x:v>
      </x:c>
      <x:c r="J20" s="118" t="str">
        <x:f>'02_Delivery_Plan'!K20</x:f>
        <x:v>Feedback is project/snapshot/finding scoped</x:v>
      </x:c>
      <x:c r="K20" s="260" t="str">
        <x:f>IF(AND(K$5&lt;=$H20,K$5+6&gt;=$G20),"■","")</x:f>
      </x:c>
      <x:c r="L20" s="260" t="str">
        <x:f>IF(AND(L$5&lt;=$H20,L$5+6&gt;=$G20),"■","")</x:f>
      </x:c>
      <x:c r="M20" s="260" t="str">
        <x:f>IF(AND(M$5&lt;=$H20,M$5+6&gt;=$G20),"■","")</x:f>
      </x:c>
      <x:c r="N20" s="260" t="str">
        <x:f>IF(AND(N$5&lt;=$H20,N$5+6&gt;=$G20),"■","")</x:f>
      </x:c>
      <x:c r="O20" s="260" t="str">
        <x:f>IF(AND(O$5&lt;=$H20,O$5+6&gt;=$G20),"■","")</x:f>
      </x:c>
      <x:c r="P20" s="260" t="str">
        <x:f>IF(AND(P$5&lt;=$H20,P$5+6&gt;=$G20),"■","")</x:f>
      </x:c>
      <x:c r="Q20" s="260" t="str">
        <x:f>IF(AND(Q$5&lt;=$H20,Q$5+6&gt;=$G20),"■","")</x:f>
      </x:c>
      <x:c r="R20" s="260" t="str">
        <x:f>IF(AND(R$5&lt;=$H20,R$5+6&gt;=$G20),"■","")</x:f>
        <x:v>■</x:v>
      </x:c>
      <x:c r="S20" s="260" t="str">
        <x:f>IF(AND(S$5&lt;=$H20,S$5+6&gt;=$G20),"■","")</x:f>
        <x:v>■</x:v>
      </x:c>
      <x:c r="T20" s="260" t="str">
        <x:f>IF(AND(T$5&lt;=$H20,T$5+6&gt;=$G20),"■","")</x:f>
      </x:c>
      <x:c r="U20" s="260" t="str">
        <x:f>IF(AND(U$5&lt;=$H20,U$5+6&gt;=$G20),"■","")</x:f>
      </x:c>
      <x:c r="V20" s="260" t="str">
        <x:f>IF(AND(V$5&lt;=$H20,V$5+6&gt;=$G20),"■","")</x:f>
      </x:c>
      <x:c r="W20" s="260" t="str">
        <x:f>IF(AND(W$5&lt;=$H20,W$5+6&gt;=$G20),"■","")</x:f>
      </x:c>
      <x:c r="X20" s="260" t="str">
        <x:f>IF(AND(X$5&lt;=$H20,X$5+6&gt;=$G20),"■","")</x:f>
      </x:c>
      <x:c r="Y20" s="260" t="str">
        <x:f>IF(AND(Y$5&lt;=$H20,Y$5+6&gt;=$G20),"■","")</x:f>
      </x:c>
    </x:row>
    <x:row r="21" ht="34" customHeight="1">
      <x:c r="A21" s="118" t="str">
        <x:f>'02_Delivery_Plan'!A21</x:f>
        <x:v>DLV-302</x:v>
      </x:c>
      <x:c r="B21" s="118" t="str">
        <x:f>'02_Delivery_Plan'!B21</x:f>
        <x:v>Learning Loop</x:v>
      </x:c>
      <x:c r="C21" s="118" t="str">
        <x:f>'02_Delivery_Plan'!D21</x:f>
        <x:v>Create Insight-to-Method proposal flow</x:v>
      </x:c>
      <x:c r="D21" s="118" t="str">
        <x:f>'02_Delivery_Plan'!G21</x:f>
        <x:v>Energy + Admin</x:v>
      </x:c>
      <x:c r="E21" s="118" t="str">
        <x:f>'02_Delivery_Plan'!E21</x:f>
        <x:v>Planned</x:v>
      </x:c>
      <x:c r="F21" s="120" t="n">
        <x:f>'02_Delivery_Plan'!F21</x:f>
        <x:v>0.1</x:v>
      </x:c>
      <x:c r="G21" s="122" t="n">
        <x:f>'02_Delivery_Plan'!H21</x:f>
        <x:v>46293</x:v>
      </x:c>
      <x:c r="H21" s="122" t="n">
        <x:f>'02_Delivery_Plan'!I21</x:f>
        <x:v>46304</x:v>
      </x:c>
      <x:c r="I21" s="118" t="str">
        <x:f>'02_Delivery_Plan'!J21</x:f>
        <x:v>DLV-301</x:v>
      </x:c>
      <x:c r="J21" s="118" t="str">
        <x:f>'02_Delivery_Plan'!K21</x:f>
        <x:v>User-approved Insight can become a reviewable Method proposal</x:v>
      </x:c>
      <x:c r="K21" s="260" t="str">
        <x:f>IF(AND(K$5&lt;=$H21,K$5+6&gt;=$G21),"■","")</x:f>
      </x:c>
      <x:c r="L21" s="260" t="str">
        <x:f>IF(AND(L$5&lt;=$H21,L$5+6&gt;=$G21),"■","")</x:f>
      </x:c>
      <x:c r="M21" s="260" t="str">
        <x:f>IF(AND(M$5&lt;=$H21,M$5+6&gt;=$G21),"■","")</x:f>
      </x:c>
      <x:c r="N21" s="260" t="str">
        <x:f>IF(AND(N$5&lt;=$H21,N$5+6&gt;=$G21),"■","")</x:f>
      </x:c>
      <x:c r="O21" s="260" t="str">
        <x:f>IF(AND(O$5&lt;=$H21,O$5+6&gt;=$G21),"■","")</x:f>
      </x:c>
      <x:c r="P21" s="260" t="str">
        <x:f>IF(AND(P$5&lt;=$H21,P$5+6&gt;=$G21),"■","")</x:f>
      </x:c>
      <x:c r="Q21" s="260" t="str">
        <x:f>IF(AND(Q$5&lt;=$H21,Q$5+6&gt;=$G21),"■","")</x:f>
      </x:c>
      <x:c r="R21" s="260" t="str">
        <x:f>IF(AND(R$5&lt;=$H21,R$5+6&gt;=$G21),"■","")</x:f>
      </x:c>
      <x:c r="S21" s="260" t="str">
        <x:f>IF(AND(S$5&lt;=$H21,S$5+6&gt;=$G21),"■","")</x:f>
        <x:v>■</x:v>
      </x:c>
      <x:c r="T21" s="260" t="str">
        <x:f>IF(AND(T$5&lt;=$H21,T$5+6&gt;=$G21),"■","")</x:f>
        <x:v>■</x:v>
      </x:c>
      <x:c r="U21" s="260" t="str">
        <x:f>IF(AND(U$5&lt;=$H21,U$5+6&gt;=$G21),"■","")</x:f>
      </x:c>
      <x:c r="V21" s="260" t="str">
        <x:f>IF(AND(V$5&lt;=$H21,V$5+6&gt;=$G21),"■","")</x:f>
      </x:c>
      <x:c r="W21" s="260" t="str">
        <x:f>IF(AND(W$5&lt;=$H21,W$5+6&gt;=$G21),"■","")</x:f>
      </x:c>
      <x:c r="X21" s="260" t="str">
        <x:f>IF(AND(X$5&lt;=$H21,X$5+6&gt;=$G21),"■","")</x:f>
      </x:c>
      <x:c r="Y21" s="260" t="str">
        <x:f>IF(AND(Y$5&lt;=$H21,Y$5+6&gt;=$G21),"■","")</x:f>
      </x:c>
    </x:row>
    <x:row r="22" ht="34" customHeight="1">
      <x:c r="A22" s="118" t="str">
        <x:f>'02_Delivery_Plan'!A22</x:f>
        <x:v>DLV-303</x:v>
      </x:c>
      <x:c r="B22" s="118" t="str">
        <x:f>'02_Delivery_Plan'!B22</x:f>
        <x:v>Learning Loop</x:v>
      </x:c>
      <x:c r="C22" s="118" t="str">
        <x:f>'02_Delivery_Plan'!D22</x:f>
        <x:v>Version governed Harness policy</x:v>
      </x:c>
      <x:c r="D22" s="118" t="str">
        <x:f>'02_Delivery_Plan'!G22</x:f>
        <x:v>AI Platform</x:v>
      </x:c>
      <x:c r="E22" s="118" t="str">
        <x:f>'02_Delivery_Plan'!E22</x:f>
        <x:v>Planned</x:v>
      </x:c>
      <x:c r="F22" s="120" t="n">
        <x:f>'02_Delivery_Plan'!F22</x:f>
        <x:v>0.1</x:v>
      </x:c>
      <x:c r="G22" s="122" t="n">
        <x:f>'02_Delivery_Plan'!H22</x:f>
        <x:v>46293</x:v>
      </x:c>
      <x:c r="H22" s="122" t="n">
        <x:f>'02_Delivery_Plan'!I22</x:f>
        <x:v>46304</x:v>
      </x:c>
      <x:c r="I22" s="118" t="str">
        <x:f>'02_Delivery_Plan'!J22</x:f>
        <x:v>DLV-105</x:v>
      </x:c>
      <x:c r="J22" s="118" t="str">
        <x:f>'02_Delivery_Plan'!K22</x:f>
        <x:v>Policy revisions are attributable and recoverable</x:v>
      </x:c>
      <x:c r="K22" s="260" t="str">
        <x:f>IF(AND(K$5&lt;=$H22,K$5+6&gt;=$G22),"■","")</x:f>
      </x:c>
      <x:c r="L22" s="260" t="str">
        <x:f>IF(AND(L$5&lt;=$H22,L$5+6&gt;=$G22),"■","")</x:f>
      </x:c>
      <x:c r="M22" s="260" t="str">
        <x:f>IF(AND(M$5&lt;=$H22,M$5+6&gt;=$G22),"■","")</x:f>
      </x:c>
      <x:c r="N22" s="260" t="str">
        <x:f>IF(AND(N$5&lt;=$H22,N$5+6&gt;=$G22),"■","")</x:f>
      </x:c>
      <x:c r="O22" s="260" t="str">
        <x:f>IF(AND(O$5&lt;=$H22,O$5+6&gt;=$G22),"■","")</x:f>
      </x:c>
      <x:c r="P22" s="260" t="str">
        <x:f>IF(AND(P$5&lt;=$H22,P$5+6&gt;=$G22),"■","")</x:f>
      </x:c>
      <x:c r="Q22" s="260" t="str">
        <x:f>IF(AND(Q$5&lt;=$H22,Q$5+6&gt;=$G22),"■","")</x:f>
      </x:c>
      <x:c r="R22" s="260" t="str">
        <x:f>IF(AND(R$5&lt;=$H22,R$5+6&gt;=$G22),"■","")</x:f>
      </x:c>
      <x:c r="S22" s="260" t="str">
        <x:f>IF(AND(S$5&lt;=$H22,S$5+6&gt;=$G22),"■","")</x:f>
        <x:v>■</x:v>
      </x:c>
      <x:c r="T22" s="260" t="str">
        <x:f>IF(AND(T$5&lt;=$H22,T$5+6&gt;=$G22),"■","")</x:f>
        <x:v>■</x:v>
      </x:c>
      <x:c r="U22" s="260" t="str">
        <x:f>IF(AND(U$5&lt;=$H22,U$5+6&gt;=$G22),"■","")</x:f>
      </x:c>
      <x:c r="V22" s="260" t="str">
        <x:f>IF(AND(V$5&lt;=$H22,V$5+6&gt;=$G22),"■","")</x:f>
      </x:c>
      <x:c r="W22" s="260" t="str">
        <x:f>IF(AND(W$5&lt;=$H22,W$5+6&gt;=$G22),"■","")</x:f>
      </x:c>
      <x:c r="X22" s="260" t="str">
        <x:f>IF(AND(X$5&lt;=$H22,X$5+6&gt;=$G22),"■","")</x:f>
      </x:c>
      <x:c r="Y22" s="260" t="str">
        <x:f>IF(AND(Y$5&lt;=$H22,Y$5+6&gt;=$G22),"■","")</x:f>
      </x:c>
    </x:row>
    <x:row r="23" ht="34" customHeight="1">
      <x:c r="A23" s="118" t="str">
        <x:f>'02_Delivery_Plan'!A23</x:f>
        <x:v>DLV-401</x:v>
      </x:c>
      <x:c r="B23" s="118" t="str">
        <x:f>'02_Delivery_Plan'!B23</x:f>
        <x:v>Pilot Scale</x:v>
      </x:c>
      <x:c r="C23" s="118" t="str">
        <x:f>'02_Delivery_Plan'!D23</x:f>
        <x:v>Prototype AI Template Proposal, Diff and Preview</x:v>
      </x:c>
      <x:c r="D23" s="118" t="str">
        <x:f>'02_Delivery_Plan'!G23</x:f>
        <x:v>Admin Product</x:v>
      </x:c>
      <x:c r="E23" s="118" t="str">
        <x:f>'02_Delivery_Plan'!E23</x:f>
        <x:v>Planned</x:v>
      </x:c>
      <x:c r="F23" s="120" t="n">
        <x:f>'02_Delivery_Plan'!F23</x:f>
        <x:v>0.2</x:v>
      </x:c>
      <x:c r="G23" s="122" t="n">
        <x:f>'02_Delivery_Plan'!H23</x:f>
        <x:v>46307</x:v>
      </x:c>
      <x:c r="H23" s="122" t="n">
        <x:f>'02_Delivery_Plan'!I23</x:f>
        <x:v>46318</x:v>
      </x:c>
      <x:c r="I23" s="118" t="str">
        <x:f>'02_Delivery_Plan'!J23</x:f>
        <x:v>DLV-203;DLV-303</x:v>
      </x:c>
      <x:c r="J23" s="118" t="str">
        <x:f>'02_Delivery_Plan'!K23</x:f>
        <x:v>AI proposes; human reviews; publish remains explicit</x:v>
      </x:c>
      <x:c r="K23" s="260" t="str">
        <x:f>IF(AND(K$5&lt;=$H23,K$5+6&gt;=$G23),"■","")</x:f>
      </x:c>
      <x:c r="L23" s="260" t="str">
        <x:f>IF(AND(L$5&lt;=$H23,L$5+6&gt;=$G23),"■","")</x:f>
      </x:c>
      <x:c r="M23" s="260" t="str">
        <x:f>IF(AND(M$5&lt;=$H23,M$5+6&gt;=$G23),"■","")</x:f>
      </x:c>
      <x:c r="N23" s="260" t="str">
        <x:f>IF(AND(N$5&lt;=$H23,N$5+6&gt;=$G23),"■","")</x:f>
      </x:c>
      <x:c r="O23" s="260" t="str">
        <x:f>IF(AND(O$5&lt;=$H23,O$5+6&gt;=$G23),"■","")</x:f>
      </x:c>
      <x:c r="P23" s="260" t="str">
        <x:f>IF(AND(P$5&lt;=$H23,P$5+6&gt;=$G23),"■","")</x:f>
      </x:c>
      <x:c r="Q23" s="260" t="str">
        <x:f>IF(AND(Q$5&lt;=$H23,Q$5+6&gt;=$G23),"■","")</x:f>
      </x:c>
      <x:c r="R23" s="260" t="str">
        <x:f>IF(AND(R$5&lt;=$H23,R$5+6&gt;=$G23),"■","")</x:f>
      </x:c>
      <x:c r="S23" s="260" t="str">
        <x:f>IF(AND(S$5&lt;=$H23,S$5+6&gt;=$G23),"■","")</x:f>
      </x:c>
      <x:c r="T23" s="260" t="str">
        <x:f>IF(AND(T$5&lt;=$H23,T$5+6&gt;=$G23),"■","")</x:f>
      </x:c>
      <x:c r="U23" s="260" t="str">
        <x:f>IF(AND(U$5&lt;=$H23,U$5+6&gt;=$G23),"■","")</x:f>
        <x:v>■</x:v>
      </x:c>
      <x:c r="V23" s="260" t="str">
        <x:f>IF(AND(V$5&lt;=$H23,V$5+6&gt;=$G23),"■","")</x:f>
        <x:v>■</x:v>
      </x:c>
      <x:c r="W23" s="260" t="str">
        <x:f>IF(AND(W$5&lt;=$H23,W$5+6&gt;=$G23),"■","")</x:f>
      </x:c>
      <x:c r="X23" s="260" t="str">
        <x:f>IF(AND(X$5&lt;=$H23,X$5+6&gt;=$G23),"■","")</x:f>
      </x:c>
      <x:c r="Y23" s="260" t="str">
        <x:f>IF(AND(Y$5&lt;=$H23,Y$5+6&gt;=$G23),"■","")</x:f>
      </x:c>
    </x:row>
    <x:row r="24" ht="34" customHeight="1">
      <x:c r="A24" s="118" t="str">
        <x:f>'02_Delivery_Plan'!A24</x:f>
        <x:v>DLV-402</x:v>
      </x:c>
      <x:c r="B24" s="118" t="str">
        <x:f>'02_Delivery_Plan'!B24</x:f>
        <x:v>Pilot Scale</x:v>
      </x:c>
      <x:c r="C24" s="118" t="str">
        <x:f>'02_Delivery_Plan'!D24</x:f>
        <x:v>Prototype controlled visual Insight canvas</x:v>
      </x:c>
      <x:c r="D24" s="118" t="str">
        <x:f>'02_Delivery_Plan'!G24</x:f>
        <x:v>Frontend + AI</x:v>
      </x:c>
      <x:c r="E24" s="118" t="str">
        <x:f>'02_Delivery_Plan'!E24</x:f>
        <x:v>Planned</x:v>
      </x:c>
      <x:c r="F24" s="120" t="n">
        <x:f>'02_Delivery_Plan'!F24</x:f>
        <x:v>0.1</x:v>
      </x:c>
      <x:c r="G24" s="122" t="n">
        <x:f>'02_Delivery_Plan'!H24</x:f>
        <x:v>46314</x:v>
      </x:c>
      <x:c r="H24" s="122" t="n">
        <x:f>'02_Delivery_Plan'!I24</x:f>
        <x:v>46325</x:v>
      </x:c>
      <x:c r="I24" s="118" t="str">
        <x:f>'02_Delivery_Plan'!J24</x:f>
        <x:v>DLV-301</x:v>
      </x:c>
      <x:c r="J24" s="118" t="str">
        <x:f>'02_Delivery_Plan'!K24</x:f>
        <x:v>Charts appear only when they improve understanding</x:v>
      </x:c>
      <x:c r="K24" s="260" t="str">
        <x:f>IF(AND(K$5&lt;=$H24,K$5+6&gt;=$G24),"■","")</x:f>
      </x:c>
      <x:c r="L24" s="260" t="str">
        <x:f>IF(AND(L$5&lt;=$H24,L$5+6&gt;=$G24),"■","")</x:f>
      </x:c>
      <x:c r="M24" s="260" t="str">
        <x:f>IF(AND(M$5&lt;=$H24,M$5+6&gt;=$G24),"■","")</x:f>
      </x:c>
      <x:c r="N24" s="260" t="str">
        <x:f>IF(AND(N$5&lt;=$H24,N$5+6&gt;=$G24),"■","")</x:f>
      </x:c>
      <x:c r="O24" s="260" t="str">
        <x:f>IF(AND(O$5&lt;=$H24,O$5+6&gt;=$G24),"■","")</x:f>
      </x:c>
      <x:c r="P24" s="260" t="str">
        <x:f>IF(AND(P$5&lt;=$H24,P$5+6&gt;=$G24),"■","")</x:f>
      </x:c>
      <x:c r="Q24" s="260" t="str">
        <x:f>IF(AND(Q$5&lt;=$H24,Q$5+6&gt;=$G24),"■","")</x:f>
      </x:c>
      <x:c r="R24" s="260" t="str">
        <x:f>IF(AND(R$5&lt;=$H24,R$5+6&gt;=$G24),"■","")</x:f>
      </x:c>
      <x:c r="S24" s="260" t="str">
        <x:f>IF(AND(S$5&lt;=$H24,S$5+6&gt;=$G24),"■","")</x:f>
      </x:c>
      <x:c r="T24" s="260" t="str">
        <x:f>IF(AND(T$5&lt;=$H24,T$5+6&gt;=$G24),"■","")</x:f>
      </x:c>
      <x:c r="U24" s="260" t="str">
        <x:f>IF(AND(U$5&lt;=$H24,U$5+6&gt;=$G24),"■","")</x:f>
      </x:c>
      <x:c r="V24" s="260" t="str">
        <x:f>IF(AND(V$5&lt;=$H24,V$5+6&gt;=$G24),"■","")</x:f>
        <x:v>■</x:v>
      </x:c>
      <x:c r="W24" s="260" t="str">
        <x:f>IF(AND(W$5&lt;=$H24,W$5+6&gt;=$G24),"■","")</x:f>
        <x:v>■</x:v>
      </x:c>
      <x:c r="X24" s="260" t="str">
        <x:f>IF(AND(X$5&lt;=$H24,X$5+6&gt;=$G24),"■","")</x:f>
      </x:c>
      <x:c r="Y24" s="260" t="str">
        <x:f>IF(AND(Y$5&lt;=$H24,Y$5+6&gt;=$G24),"■","")</x:f>
      </x:c>
    </x:row>
    <x:row r="25" ht="34" customHeight="1">
      <x:c r="A25" s="118" t="str">
        <x:f>'02_Delivery_Plan'!A25</x:f>
        <x:v>DLV-403</x:v>
      </x:c>
      <x:c r="B25" s="118" t="str">
        <x:f>'02_Delivery_Plan'!B25</x:f>
        <x:v>Pilot Scale</x:v>
      </x:c>
      <x:c r="C25" s="118" t="str">
        <x:f>'02_Delivery_Plan'!D25</x:f>
        <x:v>Run isolated Coding Agent architecture spike</x:v>
      </x:c>
      <x:c r="D25" s="118" t="str">
        <x:f>'02_Delivery_Plan'!G25</x:f>
        <x:v>Architecture</x:v>
      </x:c>
      <x:c r="E25" s="118" t="str">
        <x:f>'02_Delivery_Plan'!E25</x:f>
        <x:v>Discovery</x:v>
      </x:c>
      <x:c r="F25" s="120" t="n">
        <x:f>'02_Delivery_Plan'!F25</x:f>
        <x:v>0.05</x:v>
      </x:c>
      <x:c r="G25" s="122" t="n">
        <x:f>'02_Delivery_Plan'!H25</x:f>
        <x:v>46314</x:v>
      </x:c>
      <x:c r="H25" s="122" t="n">
        <x:f>'02_Delivery_Plan'!I25</x:f>
        <x:v>46332</x:v>
      </x:c>
      <x:c r="I25" s="118" t="str">
        <x:f>'02_Delivery_Plan'!J25</x:f>
        <x:v>DLV-203;DLV-303</x:v>
      </x:c>
      <x:c r="J25" s="118" t="str">
        <x:f>'02_Delivery_Plan'!K25</x:f>
        <x:v>One user request becomes a reviewable, rerunnable proposal</x:v>
      </x:c>
      <x:c r="K25" s="260" t="str">
        <x:f>IF(AND(K$5&lt;=$H25,K$5+6&gt;=$G25),"■","")</x:f>
      </x:c>
      <x:c r="L25" s="260" t="str">
        <x:f>IF(AND(L$5&lt;=$H25,L$5+6&gt;=$G25),"■","")</x:f>
      </x:c>
      <x:c r="M25" s="260" t="str">
        <x:f>IF(AND(M$5&lt;=$H25,M$5+6&gt;=$G25),"■","")</x:f>
      </x:c>
      <x:c r="N25" s="260" t="str">
        <x:f>IF(AND(N$5&lt;=$H25,N$5+6&gt;=$G25),"■","")</x:f>
      </x:c>
      <x:c r="O25" s="260" t="str">
        <x:f>IF(AND(O$5&lt;=$H25,O$5+6&gt;=$G25),"■","")</x:f>
      </x:c>
      <x:c r="P25" s="260" t="str">
        <x:f>IF(AND(P$5&lt;=$H25,P$5+6&gt;=$G25),"■","")</x:f>
      </x:c>
      <x:c r="Q25" s="260" t="str">
        <x:f>IF(AND(Q$5&lt;=$H25,Q$5+6&gt;=$G25),"■","")</x:f>
      </x:c>
      <x:c r="R25" s="260" t="str">
        <x:f>IF(AND(R$5&lt;=$H25,R$5+6&gt;=$G25),"■","")</x:f>
      </x:c>
      <x:c r="S25" s="260" t="str">
        <x:f>IF(AND(S$5&lt;=$H25,S$5+6&gt;=$G25),"■","")</x:f>
      </x:c>
      <x:c r="T25" s="260" t="str">
        <x:f>IF(AND(T$5&lt;=$H25,T$5+6&gt;=$G25),"■","")</x:f>
      </x:c>
      <x:c r="U25" s="260" t="str">
        <x:f>IF(AND(U$5&lt;=$H25,U$5+6&gt;=$G25),"■","")</x:f>
      </x:c>
      <x:c r="V25" s="260" t="str">
        <x:f>IF(AND(V$5&lt;=$H25,V$5+6&gt;=$G25),"■","")</x:f>
        <x:v>■</x:v>
      </x:c>
      <x:c r="W25" s="260" t="str">
        <x:f>IF(AND(W$5&lt;=$H25,W$5+6&gt;=$G25),"■","")</x:f>
        <x:v>■</x:v>
      </x:c>
      <x:c r="X25" s="260" t="str">
        <x:f>IF(AND(X$5&lt;=$H25,X$5+6&gt;=$G25),"■","")</x:f>
        <x:v>■</x:v>
      </x:c>
      <x:c r="Y25" s="260" t="str">
        <x:f>IF(AND(Y$5&lt;=$H25,Y$5+6&gt;=$G25),"■","")</x:f>
      </x:c>
    </x:row>
    <x:row r="26" ht="34" customHeight="1">
      <x:c r="A26" s="118" t="str">
        <x:f>'02_Delivery_Plan'!A26</x:f>
        <x:v>DLV-404</x:v>
      </x:c>
      <x:c r="B26" s="118" t="str">
        <x:f>'02_Delivery_Plan'!B26</x:f>
        <x:v>Pilot Scale</x:v>
      </x:c>
      <x:c r="C26" s="118" t="str">
        <x:f>'02_Delivery_Plan'!D26</x:f>
        <x:v>Complete customer handover and commercial pilot review</x:v>
      </x:c>
      <x:c r="D26" s="118" t="str">
        <x:f>'02_Delivery_Plan'!G26</x:f>
        <x:v>Product + Sales</x:v>
      </x:c>
      <x:c r="E26" s="118" t="str">
        <x:f>'02_Delivery_Plan'!E26</x:f>
        <x:v>Planned</x:v>
      </x:c>
      <x:c r="F26" s="120" t="n">
        <x:f>'02_Delivery_Plan'!F26</x:f>
        <x:v>0.1</x:v>
      </x:c>
      <x:c r="G26" s="122" t="n">
        <x:f>'02_Delivery_Plan'!H26</x:f>
        <x:v>46328</x:v>
      </x:c>
      <x:c r="H26" s="122" t="n">
        <x:f>'02_Delivery_Plan'!I26</x:f>
        <x:v>46332</x:v>
      </x:c>
      <x:c r="I26" s="118" t="str">
        <x:f>'02_Delivery_Plan'!J26</x:f>
        <x:v>DLV-104;DLV-202;DLV-302</x:v>
      </x:c>
      <x:c r="J26" s="118" t="str">
        <x:f>'02_Delivery_Plan'!K26</x:f>
        <x:v>Usage, value, support and next-phase decisions are signed</x:v>
      </x:c>
      <x:c r="K26" s="260" t="str">
        <x:f>IF(AND(K$5&lt;=$H26,K$5+6&gt;=$G26),"■","")</x:f>
      </x:c>
      <x:c r="L26" s="260" t="str">
        <x:f>IF(AND(L$5&lt;=$H26,L$5+6&gt;=$G26),"■","")</x:f>
      </x:c>
      <x:c r="M26" s="260" t="str">
        <x:f>IF(AND(M$5&lt;=$H26,M$5+6&gt;=$G26),"■","")</x:f>
      </x:c>
      <x:c r="N26" s="260" t="str">
        <x:f>IF(AND(N$5&lt;=$H26,N$5+6&gt;=$G26),"■","")</x:f>
      </x:c>
      <x:c r="O26" s="260" t="str">
        <x:f>IF(AND(O$5&lt;=$H26,O$5+6&gt;=$G26),"■","")</x:f>
      </x:c>
      <x:c r="P26" s="260" t="str">
        <x:f>IF(AND(P$5&lt;=$H26,P$5+6&gt;=$G26),"■","")</x:f>
      </x:c>
      <x:c r="Q26" s="260" t="str">
        <x:f>IF(AND(Q$5&lt;=$H26,Q$5+6&gt;=$G26),"■","")</x:f>
      </x:c>
      <x:c r="R26" s="260" t="str">
        <x:f>IF(AND(R$5&lt;=$H26,R$5+6&gt;=$G26),"■","")</x:f>
      </x:c>
      <x:c r="S26" s="260" t="str">
        <x:f>IF(AND(S$5&lt;=$H26,S$5+6&gt;=$G26),"■","")</x:f>
      </x:c>
      <x:c r="T26" s="260" t="str">
        <x:f>IF(AND(T$5&lt;=$H26,T$5+6&gt;=$G26),"■","")</x:f>
      </x:c>
      <x:c r="U26" s="260" t="str">
        <x:f>IF(AND(U$5&lt;=$H26,U$5+6&gt;=$G26),"■","")</x:f>
      </x:c>
      <x:c r="V26" s="260" t="str">
        <x:f>IF(AND(V$5&lt;=$H26,V$5+6&gt;=$G26),"■","")</x:f>
      </x:c>
      <x:c r="W26" s="260" t="str">
        <x:f>IF(AND(W$5&lt;=$H26,W$5+6&gt;=$G26),"■","")</x:f>
      </x:c>
      <x:c r="X26" s="260" t="str">
        <x:f>IF(AND(X$5&lt;=$H26,X$5+6&gt;=$G26),"■","")</x:f>
        <x:v>■</x:v>
      </x:c>
      <x:c r="Y26" s="260" t="str">
        <x:f>IF(AND(Y$5&lt;=$H26,Y$5+6&gt;=$G26),"■","")</x:f>
      </x:c>
    </x:row>
  </x:sheetData>
  <x:mergeCells>
    <x:mergeCell ref="A1:Y1"/>
    <x:mergeCell ref="A2:Y2"/>
    <x:mergeCell ref="A4:J4"/>
  </x:mergeCells>
  <x:conditionalFormatting sqref="E6:E26">
    <x:cfRule type="containsText" dxfId="30" priority="1" operator="containsText" text="Engineering Verified"/>
    <x:cfRule type="containsText" dxfId="31" priority="2" operator="containsText" text="Acceptance Pending"/>
    <x:cfRule type="containsText" dxfId="32" priority="3" operator="containsText" text="In Progress"/>
    <x:cfRule type="containsText" dxfId="33" priority="4" operator="containsText" text="Planned"/>
    <x:cfRule type="containsText" dxfId="34" priority="5" operator="containsText" text="Discovery"/>
    <x:cfRule type="containsText" dxfId="35" priority="6" operator="containsText" text="Blocked"/>
  </x:conditionalFormatting>
  <x:dataValidations count="1">
    <x:dataValidation type="list" sqref="E6:E26">
      <x:formula1>"Engineering Verified,Acceptance Pending,In Progress,Planned,Discovery,Blocked"</x:formula1>
    </x:dataValidation>
  </x:dataValidations>
  <x:pageMargins left="0.7" right="0.7" top="0.75" bottom="0.75" header="0.3" footer="0.3"/>
</x:worksheet>
</file>